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西南交大\教学\(专业核心课）劳动经济学\90_过程文件与缓存\2026-09-01_l02_release_v10\"/>
    </mc:Choice>
  </mc:AlternateContent>
  <xr:revisionPtr revIDLastSave="0" documentId="8_{E6DD7E3D-51F4-483D-80F9-A0E7685367D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00_使用说明" sheetId="1" r:id="rId1"/>
    <sheet name="01_人物数据" sheetId="2" r:id="rId2"/>
    <sheet name="02_V1分类" sheetId="3" r:id="rId3"/>
    <sheet name="03_V1指标" sheetId="4" r:id="rId4"/>
    <sheet name="04_LMDT与AI审计" sheetId="5" r:id="rId5"/>
    <sheet name="05_V2分类" sheetId="6" r:id="rId6"/>
    <sheet name="06_V2指标图表" sheetId="7" r:id="rId7"/>
    <sheet name="07_汇报提交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8" l="1"/>
  <c r="B10" i="8"/>
  <c r="D9" i="8"/>
  <c r="D8" i="8"/>
  <c r="B8" i="8"/>
  <c r="D7" i="8"/>
  <c r="B7" i="8"/>
  <c r="D6" i="8"/>
  <c r="B6" i="8"/>
  <c r="D5" i="8"/>
  <c r="B5" i="8"/>
  <c r="D14" i="7"/>
  <c r="D13" i="7"/>
  <c r="D12" i="7"/>
  <c r="D11" i="7"/>
  <c r="D10" i="7"/>
  <c r="D9" i="7"/>
  <c r="C9" i="7"/>
  <c r="B27" i="7" s="1"/>
  <c r="D8" i="7"/>
  <c r="C8" i="7"/>
  <c r="B26" i="7" s="1"/>
  <c r="D7" i="7"/>
  <c r="C7" i="7"/>
  <c r="C10" i="7" s="1"/>
  <c r="C13" i="7" s="1"/>
  <c r="D6" i="7"/>
  <c r="I41" i="6"/>
  <c r="F41" i="6"/>
  <c r="C41" i="6"/>
  <c r="B41" i="6"/>
  <c r="A41" i="6"/>
  <c r="I40" i="6"/>
  <c r="F40" i="6"/>
  <c r="C40" i="6"/>
  <c r="B40" i="6"/>
  <c r="A40" i="6"/>
  <c r="I39" i="6"/>
  <c r="F39" i="6"/>
  <c r="C39" i="6"/>
  <c r="B39" i="6"/>
  <c r="A39" i="6"/>
  <c r="I38" i="6"/>
  <c r="F38" i="6"/>
  <c r="C38" i="6"/>
  <c r="B38" i="6"/>
  <c r="A38" i="6"/>
  <c r="I37" i="6"/>
  <c r="F37" i="6"/>
  <c r="C37" i="6"/>
  <c r="B37" i="6"/>
  <c r="A37" i="6"/>
  <c r="I36" i="6"/>
  <c r="F36" i="6"/>
  <c r="C36" i="6"/>
  <c r="B36" i="6"/>
  <c r="A36" i="6"/>
  <c r="I35" i="6"/>
  <c r="F35" i="6"/>
  <c r="C35" i="6"/>
  <c r="B35" i="6"/>
  <c r="A35" i="6"/>
  <c r="I34" i="6"/>
  <c r="F34" i="6"/>
  <c r="C34" i="6"/>
  <c r="B34" i="6"/>
  <c r="A34" i="6"/>
  <c r="I33" i="6"/>
  <c r="F33" i="6"/>
  <c r="C33" i="6"/>
  <c r="B33" i="6"/>
  <c r="A33" i="6"/>
  <c r="I32" i="6"/>
  <c r="F32" i="6"/>
  <c r="C32" i="6"/>
  <c r="B32" i="6"/>
  <c r="A32" i="6"/>
  <c r="I31" i="6"/>
  <c r="F31" i="6"/>
  <c r="C31" i="6"/>
  <c r="B31" i="6"/>
  <c r="A31" i="6"/>
  <c r="I30" i="6"/>
  <c r="F30" i="6"/>
  <c r="C30" i="6"/>
  <c r="B30" i="6"/>
  <c r="A30" i="6"/>
  <c r="I29" i="6"/>
  <c r="F29" i="6"/>
  <c r="C29" i="6"/>
  <c r="B29" i="6"/>
  <c r="A29" i="6"/>
  <c r="I28" i="6"/>
  <c r="F28" i="6"/>
  <c r="C28" i="6"/>
  <c r="B28" i="6"/>
  <c r="A28" i="6"/>
  <c r="I27" i="6"/>
  <c r="F27" i="6"/>
  <c r="C27" i="6"/>
  <c r="B27" i="6"/>
  <c r="A27" i="6"/>
  <c r="I26" i="6"/>
  <c r="F26" i="6"/>
  <c r="C26" i="6"/>
  <c r="B26" i="6"/>
  <c r="A26" i="6"/>
  <c r="I25" i="6"/>
  <c r="F25" i="6"/>
  <c r="C25" i="6"/>
  <c r="B25" i="6"/>
  <c r="A25" i="6"/>
  <c r="I24" i="6"/>
  <c r="F24" i="6"/>
  <c r="C24" i="6"/>
  <c r="B24" i="6"/>
  <c r="A24" i="6"/>
  <c r="I23" i="6"/>
  <c r="F23" i="6"/>
  <c r="C23" i="6"/>
  <c r="B23" i="6"/>
  <c r="A23" i="6"/>
  <c r="I22" i="6"/>
  <c r="F22" i="6"/>
  <c r="C22" i="6"/>
  <c r="B22" i="6"/>
  <c r="A22" i="6"/>
  <c r="I21" i="6"/>
  <c r="F21" i="6"/>
  <c r="C21" i="6"/>
  <c r="B21" i="6"/>
  <c r="A21" i="6"/>
  <c r="I20" i="6"/>
  <c r="F20" i="6"/>
  <c r="C20" i="6"/>
  <c r="B20" i="6"/>
  <c r="A20" i="6"/>
  <c r="I19" i="6"/>
  <c r="F19" i="6"/>
  <c r="C19" i="6"/>
  <c r="B19" i="6"/>
  <c r="A19" i="6"/>
  <c r="I18" i="6"/>
  <c r="F18" i="6"/>
  <c r="C18" i="6"/>
  <c r="B18" i="6"/>
  <c r="A18" i="6"/>
  <c r="I17" i="6"/>
  <c r="F17" i="6"/>
  <c r="C17" i="6"/>
  <c r="B17" i="6"/>
  <c r="A17" i="6"/>
  <c r="I16" i="6"/>
  <c r="F16" i="6"/>
  <c r="C16" i="6"/>
  <c r="B16" i="6"/>
  <c r="A16" i="6"/>
  <c r="I15" i="6"/>
  <c r="F15" i="6"/>
  <c r="C15" i="6"/>
  <c r="B15" i="6"/>
  <c r="A15" i="6"/>
  <c r="I14" i="6"/>
  <c r="F14" i="6"/>
  <c r="C14" i="6"/>
  <c r="B14" i="6"/>
  <c r="A14" i="6"/>
  <c r="I13" i="6"/>
  <c r="F13" i="6"/>
  <c r="C13" i="6"/>
  <c r="B13" i="6"/>
  <c r="A13" i="6"/>
  <c r="I12" i="6"/>
  <c r="F12" i="6"/>
  <c r="C12" i="6"/>
  <c r="B12" i="6"/>
  <c r="A12" i="6"/>
  <c r="I11" i="6"/>
  <c r="F11" i="6"/>
  <c r="C11" i="6"/>
  <c r="B11" i="6"/>
  <c r="A11" i="6"/>
  <c r="I10" i="6"/>
  <c r="F10" i="6"/>
  <c r="C10" i="6"/>
  <c r="B10" i="6"/>
  <c r="A10" i="6"/>
  <c r="I9" i="6"/>
  <c r="F9" i="6"/>
  <c r="C9" i="6"/>
  <c r="B9" i="6"/>
  <c r="A9" i="6"/>
  <c r="I8" i="6"/>
  <c r="F8" i="6"/>
  <c r="C8" i="6"/>
  <c r="B8" i="6"/>
  <c r="A8" i="6"/>
  <c r="C6" i="7" s="1"/>
  <c r="I7" i="6"/>
  <c r="F7" i="6"/>
  <c r="C7" i="6"/>
  <c r="B7" i="6"/>
  <c r="A7" i="6"/>
  <c r="I6" i="6"/>
  <c r="F6" i="6"/>
  <c r="C6" i="6"/>
  <c r="B6" i="6"/>
  <c r="A6" i="6"/>
  <c r="D14" i="4"/>
  <c r="D13" i="4"/>
  <c r="D12" i="4"/>
  <c r="D11" i="4"/>
  <c r="D10" i="4"/>
  <c r="D9" i="4"/>
  <c r="C9" i="4"/>
  <c r="D8" i="4"/>
  <c r="C8" i="4"/>
  <c r="D7" i="4"/>
  <c r="C7" i="4"/>
  <c r="C14" i="4" s="1"/>
  <c r="D6" i="4"/>
  <c r="O41" i="3"/>
  <c r="K41" i="3"/>
  <c r="J41" i="3"/>
  <c r="I41" i="3"/>
  <c r="H41" i="3"/>
  <c r="G41" i="3"/>
  <c r="F41" i="3"/>
  <c r="E41" i="3"/>
  <c r="D41" i="3"/>
  <c r="C41" i="3"/>
  <c r="B41" i="3"/>
  <c r="A41" i="3"/>
  <c r="O40" i="3"/>
  <c r="K40" i="3"/>
  <c r="J40" i="3"/>
  <c r="I40" i="3"/>
  <c r="H40" i="3"/>
  <c r="G40" i="3"/>
  <c r="F40" i="3"/>
  <c r="E40" i="3"/>
  <c r="D40" i="3"/>
  <c r="C40" i="3"/>
  <c r="B40" i="3"/>
  <c r="A40" i="3"/>
  <c r="O39" i="3"/>
  <c r="K39" i="3"/>
  <c r="J39" i="3"/>
  <c r="I39" i="3"/>
  <c r="H39" i="3"/>
  <c r="G39" i="3"/>
  <c r="F39" i="3"/>
  <c r="E39" i="3"/>
  <c r="D39" i="3"/>
  <c r="C39" i="3"/>
  <c r="B39" i="3"/>
  <c r="A39" i="3"/>
  <c r="O38" i="3"/>
  <c r="K38" i="3"/>
  <c r="J38" i="3"/>
  <c r="I38" i="3"/>
  <c r="H38" i="3"/>
  <c r="G38" i="3"/>
  <c r="F38" i="3"/>
  <c r="E38" i="3"/>
  <c r="D38" i="3"/>
  <c r="C38" i="3"/>
  <c r="B38" i="3"/>
  <c r="A38" i="3"/>
  <c r="O37" i="3"/>
  <c r="K37" i="3"/>
  <c r="J37" i="3"/>
  <c r="I37" i="3"/>
  <c r="H37" i="3"/>
  <c r="G37" i="3"/>
  <c r="F37" i="3"/>
  <c r="E37" i="3"/>
  <c r="D37" i="3"/>
  <c r="C37" i="3"/>
  <c r="B37" i="3"/>
  <c r="A37" i="3"/>
  <c r="O36" i="3"/>
  <c r="K36" i="3"/>
  <c r="J36" i="3"/>
  <c r="I36" i="3"/>
  <c r="H36" i="3"/>
  <c r="G36" i="3"/>
  <c r="F36" i="3"/>
  <c r="E36" i="3"/>
  <c r="D36" i="3"/>
  <c r="C36" i="3"/>
  <c r="B36" i="3"/>
  <c r="A36" i="3"/>
  <c r="O35" i="3"/>
  <c r="K35" i="3"/>
  <c r="J35" i="3"/>
  <c r="I35" i="3"/>
  <c r="H35" i="3"/>
  <c r="G35" i="3"/>
  <c r="F35" i="3"/>
  <c r="E35" i="3"/>
  <c r="D35" i="3"/>
  <c r="C35" i="3"/>
  <c r="B35" i="3"/>
  <c r="A35" i="3"/>
  <c r="O34" i="3"/>
  <c r="K34" i="3"/>
  <c r="J34" i="3"/>
  <c r="I34" i="3"/>
  <c r="H34" i="3"/>
  <c r="G34" i="3"/>
  <c r="F34" i="3"/>
  <c r="E34" i="3"/>
  <c r="D34" i="3"/>
  <c r="C34" i="3"/>
  <c r="B34" i="3"/>
  <c r="A34" i="3"/>
  <c r="O33" i="3"/>
  <c r="K33" i="3"/>
  <c r="J33" i="3"/>
  <c r="I33" i="3"/>
  <c r="H33" i="3"/>
  <c r="G33" i="3"/>
  <c r="F33" i="3"/>
  <c r="E33" i="3"/>
  <c r="D33" i="3"/>
  <c r="C33" i="3"/>
  <c r="B33" i="3"/>
  <c r="A33" i="3"/>
  <c r="O32" i="3"/>
  <c r="K32" i="3"/>
  <c r="J32" i="3"/>
  <c r="I32" i="3"/>
  <c r="H32" i="3"/>
  <c r="G32" i="3"/>
  <c r="F32" i="3"/>
  <c r="E32" i="3"/>
  <c r="D32" i="3"/>
  <c r="C32" i="3"/>
  <c r="B32" i="3"/>
  <c r="A32" i="3"/>
  <c r="O31" i="3"/>
  <c r="K31" i="3"/>
  <c r="J31" i="3"/>
  <c r="I31" i="3"/>
  <c r="H31" i="3"/>
  <c r="G31" i="3"/>
  <c r="F31" i="3"/>
  <c r="E31" i="3"/>
  <c r="D31" i="3"/>
  <c r="C31" i="3"/>
  <c r="B31" i="3"/>
  <c r="A31" i="3"/>
  <c r="O30" i="3"/>
  <c r="K30" i="3"/>
  <c r="J30" i="3"/>
  <c r="I30" i="3"/>
  <c r="H30" i="3"/>
  <c r="G30" i="3"/>
  <c r="F30" i="3"/>
  <c r="E30" i="3"/>
  <c r="D30" i="3"/>
  <c r="C30" i="3"/>
  <c r="B30" i="3"/>
  <c r="A30" i="3"/>
  <c r="O29" i="3"/>
  <c r="K29" i="3"/>
  <c r="J29" i="3"/>
  <c r="I29" i="3"/>
  <c r="H29" i="3"/>
  <c r="G29" i="3"/>
  <c r="F29" i="3"/>
  <c r="E29" i="3"/>
  <c r="D29" i="3"/>
  <c r="C29" i="3"/>
  <c r="B29" i="3"/>
  <c r="A29" i="3"/>
  <c r="O28" i="3"/>
  <c r="K28" i="3"/>
  <c r="J28" i="3"/>
  <c r="I28" i="3"/>
  <c r="H28" i="3"/>
  <c r="G28" i="3"/>
  <c r="F28" i="3"/>
  <c r="E28" i="3"/>
  <c r="D28" i="3"/>
  <c r="C28" i="3"/>
  <c r="B28" i="3"/>
  <c r="A28" i="3"/>
  <c r="O27" i="3"/>
  <c r="K27" i="3"/>
  <c r="J27" i="3"/>
  <c r="I27" i="3"/>
  <c r="H27" i="3"/>
  <c r="G27" i="3"/>
  <c r="F27" i="3"/>
  <c r="E27" i="3"/>
  <c r="D27" i="3"/>
  <c r="C27" i="3"/>
  <c r="B27" i="3"/>
  <c r="A27" i="3"/>
  <c r="O26" i="3"/>
  <c r="K26" i="3"/>
  <c r="J26" i="3"/>
  <c r="I26" i="3"/>
  <c r="H26" i="3"/>
  <c r="G26" i="3"/>
  <c r="F26" i="3"/>
  <c r="E26" i="3"/>
  <c r="D26" i="3"/>
  <c r="C26" i="3"/>
  <c r="B26" i="3"/>
  <c r="A26" i="3"/>
  <c r="O25" i="3"/>
  <c r="K25" i="3"/>
  <c r="J25" i="3"/>
  <c r="I25" i="3"/>
  <c r="H25" i="3"/>
  <c r="G25" i="3"/>
  <c r="F25" i="3"/>
  <c r="E25" i="3"/>
  <c r="D25" i="3"/>
  <c r="C25" i="3"/>
  <c r="B25" i="3"/>
  <c r="A25" i="3"/>
  <c r="O24" i="3"/>
  <c r="K24" i="3"/>
  <c r="J24" i="3"/>
  <c r="I24" i="3"/>
  <c r="H24" i="3"/>
  <c r="G24" i="3"/>
  <c r="F24" i="3"/>
  <c r="E24" i="3"/>
  <c r="D24" i="3"/>
  <c r="C24" i="3"/>
  <c r="B24" i="3"/>
  <c r="A24" i="3"/>
  <c r="O23" i="3"/>
  <c r="K23" i="3"/>
  <c r="J23" i="3"/>
  <c r="I23" i="3"/>
  <c r="H23" i="3"/>
  <c r="G23" i="3"/>
  <c r="F23" i="3"/>
  <c r="E23" i="3"/>
  <c r="D23" i="3"/>
  <c r="C23" i="3"/>
  <c r="B23" i="3"/>
  <c r="A23" i="3"/>
  <c r="O22" i="3"/>
  <c r="K22" i="3"/>
  <c r="J22" i="3"/>
  <c r="I22" i="3"/>
  <c r="H22" i="3"/>
  <c r="G22" i="3"/>
  <c r="F22" i="3"/>
  <c r="E22" i="3"/>
  <c r="D22" i="3"/>
  <c r="C22" i="3"/>
  <c r="B22" i="3"/>
  <c r="A22" i="3"/>
  <c r="O21" i="3"/>
  <c r="K21" i="3"/>
  <c r="J21" i="3"/>
  <c r="I21" i="3"/>
  <c r="H21" i="3"/>
  <c r="G21" i="3"/>
  <c r="F21" i="3"/>
  <c r="E21" i="3"/>
  <c r="D21" i="3"/>
  <c r="C21" i="3"/>
  <c r="B21" i="3"/>
  <c r="A21" i="3"/>
  <c r="O20" i="3"/>
  <c r="K20" i="3"/>
  <c r="J20" i="3"/>
  <c r="I20" i="3"/>
  <c r="H20" i="3"/>
  <c r="G20" i="3"/>
  <c r="F20" i="3"/>
  <c r="E20" i="3"/>
  <c r="D20" i="3"/>
  <c r="C20" i="3"/>
  <c r="B20" i="3"/>
  <c r="A20" i="3"/>
  <c r="O19" i="3"/>
  <c r="K19" i="3"/>
  <c r="J19" i="3"/>
  <c r="I19" i="3"/>
  <c r="H19" i="3"/>
  <c r="G19" i="3"/>
  <c r="F19" i="3"/>
  <c r="E19" i="3"/>
  <c r="D19" i="3"/>
  <c r="C19" i="3"/>
  <c r="B19" i="3"/>
  <c r="A19" i="3"/>
  <c r="O18" i="3"/>
  <c r="K18" i="3"/>
  <c r="J18" i="3"/>
  <c r="I18" i="3"/>
  <c r="H18" i="3"/>
  <c r="G18" i="3"/>
  <c r="F18" i="3"/>
  <c r="E18" i="3"/>
  <c r="D18" i="3"/>
  <c r="C18" i="3"/>
  <c r="B18" i="3"/>
  <c r="A18" i="3"/>
  <c r="O17" i="3"/>
  <c r="K17" i="3"/>
  <c r="J17" i="3"/>
  <c r="I17" i="3"/>
  <c r="H17" i="3"/>
  <c r="G17" i="3"/>
  <c r="F17" i="3"/>
  <c r="E17" i="3"/>
  <c r="D17" i="3"/>
  <c r="C17" i="3"/>
  <c r="B17" i="3"/>
  <c r="A17" i="3"/>
  <c r="O16" i="3"/>
  <c r="K16" i="3"/>
  <c r="J16" i="3"/>
  <c r="I16" i="3"/>
  <c r="H16" i="3"/>
  <c r="G16" i="3"/>
  <c r="F16" i="3"/>
  <c r="E16" i="3"/>
  <c r="D16" i="3"/>
  <c r="C16" i="3"/>
  <c r="B16" i="3"/>
  <c r="A16" i="3"/>
  <c r="O15" i="3"/>
  <c r="K15" i="3"/>
  <c r="J15" i="3"/>
  <c r="I15" i="3"/>
  <c r="H15" i="3"/>
  <c r="G15" i="3"/>
  <c r="F15" i="3"/>
  <c r="E15" i="3"/>
  <c r="D15" i="3"/>
  <c r="C15" i="3"/>
  <c r="B15" i="3"/>
  <c r="A15" i="3"/>
  <c r="O14" i="3"/>
  <c r="K14" i="3"/>
  <c r="J14" i="3"/>
  <c r="I14" i="3"/>
  <c r="H14" i="3"/>
  <c r="G14" i="3"/>
  <c r="F14" i="3"/>
  <c r="E14" i="3"/>
  <c r="D14" i="3"/>
  <c r="C14" i="3"/>
  <c r="B14" i="3"/>
  <c r="A14" i="3"/>
  <c r="O13" i="3"/>
  <c r="K13" i="3"/>
  <c r="J13" i="3"/>
  <c r="I13" i="3"/>
  <c r="H13" i="3"/>
  <c r="G13" i="3"/>
  <c r="F13" i="3"/>
  <c r="E13" i="3"/>
  <c r="D13" i="3"/>
  <c r="C13" i="3"/>
  <c r="B13" i="3"/>
  <c r="A13" i="3"/>
  <c r="O12" i="3"/>
  <c r="K12" i="3"/>
  <c r="J12" i="3"/>
  <c r="I12" i="3"/>
  <c r="H12" i="3"/>
  <c r="G12" i="3"/>
  <c r="F12" i="3"/>
  <c r="E12" i="3"/>
  <c r="D12" i="3"/>
  <c r="C12" i="3"/>
  <c r="B12" i="3"/>
  <c r="A12" i="3"/>
  <c r="O11" i="3"/>
  <c r="K11" i="3"/>
  <c r="J11" i="3"/>
  <c r="I11" i="3"/>
  <c r="H11" i="3"/>
  <c r="G11" i="3"/>
  <c r="F11" i="3"/>
  <c r="E11" i="3"/>
  <c r="D11" i="3"/>
  <c r="C11" i="3"/>
  <c r="B11" i="3"/>
  <c r="A11" i="3"/>
  <c r="O10" i="3"/>
  <c r="K10" i="3"/>
  <c r="J10" i="3"/>
  <c r="I10" i="3"/>
  <c r="H10" i="3"/>
  <c r="G10" i="3"/>
  <c r="F10" i="3"/>
  <c r="E10" i="3"/>
  <c r="D10" i="3"/>
  <c r="C10" i="3"/>
  <c r="B10" i="3"/>
  <c r="A10" i="3"/>
  <c r="O9" i="3"/>
  <c r="K9" i="3"/>
  <c r="J9" i="3"/>
  <c r="I9" i="3"/>
  <c r="H9" i="3"/>
  <c r="G9" i="3"/>
  <c r="F9" i="3"/>
  <c r="E9" i="3"/>
  <c r="D9" i="3"/>
  <c r="C9" i="3"/>
  <c r="B9" i="3"/>
  <c r="A9" i="3"/>
  <c r="O8" i="3"/>
  <c r="B9" i="8" s="1"/>
  <c r="B11" i="8" s="1"/>
  <c r="K8" i="3"/>
  <c r="J8" i="3"/>
  <c r="I8" i="3"/>
  <c r="H8" i="3"/>
  <c r="G8" i="3"/>
  <c r="F8" i="3"/>
  <c r="E8" i="3"/>
  <c r="D8" i="3"/>
  <c r="C8" i="3"/>
  <c r="B8" i="3"/>
  <c r="A8" i="3"/>
  <c r="O7" i="3"/>
  <c r="K7" i="3"/>
  <c r="J7" i="3"/>
  <c r="I7" i="3"/>
  <c r="H7" i="3"/>
  <c r="G7" i="3"/>
  <c r="F7" i="3"/>
  <c r="E7" i="3"/>
  <c r="D7" i="3"/>
  <c r="C7" i="3"/>
  <c r="B7" i="3"/>
  <c r="A7" i="3"/>
  <c r="O6" i="3"/>
  <c r="K6" i="3"/>
  <c r="J6" i="3"/>
  <c r="I6" i="3"/>
  <c r="H6" i="3"/>
  <c r="G6" i="3"/>
  <c r="F6" i="3"/>
  <c r="E6" i="3"/>
  <c r="D6" i="3"/>
  <c r="C6" i="3"/>
  <c r="B6" i="3"/>
  <c r="A6" i="3"/>
  <c r="C6" i="4" s="1"/>
  <c r="C12" i="4" l="1"/>
  <c r="C12" i="7"/>
  <c r="C11" i="7"/>
  <c r="B25" i="7"/>
  <c r="C14" i="7"/>
  <c r="C10" i="4"/>
  <c r="C13" i="4" s="1"/>
  <c r="C11" i="4" l="1"/>
</calcChain>
</file>

<file path=xl/sharedStrings.xml><?xml version="1.0" encoding="utf-8"?>
<sst xmlns="http://schemas.openxmlformats.org/spreadsheetml/2006/main" count="587" uniqueCount="324">
  <si>
    <t>实践一｜劳动力市场指标诊断</t>
  </si>
  <si>
    <t>学生Excel模板 V1.0｜先独立V1，再做LMDT核验和AI审计，最后形成V2</t>
  </si>
  <si>
    <t>班级（必填）</t>
  </si>
  <si>
    <t>学号（必填）</t>
  </si>
  <si>
    <t>姓名（必填）</t>
  </si>
  <si>
    <t>学生模板版本</t>
  </si>
  <si>
    <t>TPL-L02-STUDENT-V1.0</t>
  </si>
  <si>
    <t>人物数据版本</t>
  </si>
  <si>
    <t>DATA-L02-V1.0</t>
  </si>
  <si>
    <t>规则版本</t>
  </si>
  <si>
    <t>RULE-L02-V1.0</t>
  </si>
  <si>
    <t>完成路径</t>
  </si>
  <si>
    <t>步骤一</t>
  </si>
  <si>
    <t>阅读人物数据</t>
  </si>
  <si>
    <t>只看行为事实与时间窗口，不凭身份标签判断。</t>
  </si>
  <si>
    <t>步骤二</t>
  </si>
  <si>
    <t>独立完成V1</t>
  </si>
  <si>
    <t>在02表逐人选择E/U/N、命中规则并写一句话依据；此时不要使用AI。</t>
  </si>
  <si>
    <t>步骤三</t>
  </si>
  <si>
    <t>自己写Excel公式</t>
  </si>
  <si>
    <t>在03表输入W、E、U、N、LF和三项指标公式；模板只做交叉核对。</t>
  </si>
  <si>
    <t>步骤四</t>
  </si>
  <si>
    <t>上传LMDT</t>
  </si>
  <si>
    <t>实践一专用入口由教师课堂公布；保存反馈码和原始反馈，不覆盖V1。</t>
  </si>
  <si>
    <t>步骤五</t>
  </si>
  <si>
    <t>审计外部AI</t>
  </si>
  <si>
    <t>可使用自己合适的AI，但必须保留原回答并逐条标注接受、修改或拒绝及理由。</t>
  </si>
  <si>
    <t>步骤六</t>
  </si>
  <si>
    <t>形成V2</t>
  </si>
  <si>
    <t>在05表修订或保留分类，在06表重新完成公式并检查图表。</t>
  </si>
  <si>
    <t>步骤七</t>
  </si>
  <si>
    <t>完成汇报</t>
  </si>
  <si>
    <t>填写07表，并完成Word版LMDT核验与领导汇报报告。</t>
  </si>
  <si>
    <t>三条底线</t>
  </si>
  <si>
    <t>1</t>
  </si>
  <si>
    <t>不要改动01人物数据，也不要删除、排序或增补人物ID。</t>
  </si>
  <si>
    <t>2</t>
  </si>
  <si>
    <t>V1必须先独立完成并保留；AI可以被审计，不能替你完成第一版判断。</t>
  </si>
  <si>
    <t>3</t>
  </si>
  <si>
    <t>本数据只有一个时期：可以说人数、比例和结构快照，不能说上升下降、原因或政策有效。</t>
  </si>
  <si>
    <t>提交文件名：班级_学号_姓名_实践一_劳动力市场指标诊断_V2.xlsx；Word报告按同一前缀命名。截止时间和LMDT入口以学习通通知为准。</t>
  </si>
  <si>
    <t>01｜实践一人物数据（36人）</t>
  </si>
  <si>
    <t>教师原创单期教学情境｜数据版本 DATA-L02-V1.0｜本表不含E/U/N答案</t>
  </si>
  <si>
    <t>人物ID</t>
  </si>
  <si>
    <t>化名</t>
  </si>
  <si>
    <t>年龄</t>
  </si>
  <si>
    <t>身份线索</t>
  </si>
  <si>
    <t>参考周有酬/经营工作小时</t>
  </si>
  <si>
    <t>有工作但暂未上班</t>
  </si>
  <si>
    <t>暂未上班判定事实</t>
  </si>
  <si>
    <t>近3个月实际求职</t>
  </si>
  <si>
    <t>求职行动事实</t>
  </si>
  <si>
    <t>未来2周可开始工作</t>
  </si>
  <si>
    <t>其他关键事实</t>
  </si>
  <si>
    <t>数据版本</t>
  </si>
  <si>
    <t>P01</t>
  </si>
  <si>
    <t>陈静</t>
  </si>
  <si>
    <t>销售职员</t>
  </si>
  <si>
    <t>否</t>
  </si>
  <si>
    <t>不适用</t>
  </si>
  <si>
    <t>本周正常从事有酬工作</t>
  </si>
  <si>
    <t>P02</t>
  </si>
  <si>
    <t>阿杰</t>
  </si>
  <si>
    <t>自由设计师</t>
  </si>
  <si>
    <t>本周完成付费设计订单并收款</t>
  </si>
  <si>
    <t>P03</t>
  </si>
  <si>
    <t>林悦</t>
  </si>
  <si>
    <t>全日制本科生</t>
  </si>
  <si>
    <t>本周完成有偿家教</t>
  </si>
  <si>
    <t>P04</t>
  </si>
  <si>
    <t>周明</t>
  </si>
  <si>
    <t>工厂职工</t>
  </si>
  <si>
    <t>是</t>
  </si>
  <si>
    <t>带薪年休假；岗位保留；下周返岗</t>
  </si>
  <si>
    <t>本周未实际工作</t>
  </si>
  <si>
    <t>P05</t>
  </si>
  <si>
    <t>吴强</t>
  </si>
  <si>
    <t>平台配送员</t>
  </si>
  <si>
    <t>本周接单并获得报酬</t>
  </si>
  <si>
    <t>P06</t>
  </si>
  <si>
    <t>赵国平</t>
  </si>
  <si>
    <t>退休人员</t>
  </si>
  <si>
    <t>退休后本周有偿维修家电</t>
  </si>
  <si>
    <t>P07</t>
  </si>
  <si>
    <t>王芳</t>
  </si>
  <si>
    <t>网店经营者</t>
  </si>
  <si>
    <t>本周经营网店并获得经营收入</t>
  </si>
  <si>
    <t>P08</t>
  </si>
  <si>
    <t>孙凯</t>
  </si>
  <si>
    <t>实习生</t>
  </si>
  <si>
    <t>本周为有薪实习</t>
  </si>
  <si>
    <t>P09</t>
  </si>
  <si>
    <t>李梅</t>
  </si>
  <si>
    <t>亲属餐馆服务员</t>
  </si>
  <si>
    <t>在亲属餐馆按小时领取工资</t>
  </si>
  <si>
    <t>P10</t>
  </si>
  <si>
    <t>高宇</t>
  </si>
  <si>
    <t>网约车个体经营者</t>
  </si>
  <si>
    <t>本周接单并取得经营收入</t>
  </si>
  <si>
    <t>P11</t>
  </si>
  <si>
    <t>刘娜</t>
  </si>
  <si>
    <t>企业职员</t>
  </si>
  <si>
    <t>带薪产假；岗位保留；计划按期返岗</t>
  </si>
  <si>
    <t>P12</t>
  </si>
  <si>
    <t>黄磊</t>
  </si>
  <si>
    <t>仓库管理员</t>
  </si>
  <si>
    <t>带薪病假；岗位保留；预计10天后返岗</t>
  </si>
  <si>
    <t>P13</t>
  </si>
  <si>
    <t>张蕾</t>
  </si>
  <si>
    <t>翻译兼职</t>
  </si>
  <si>
    <t>本周完成1小时有酬翻译</t>
  </si>
  <si>
    <t>P14</t>
  </si>
  <si>
    <t>胡军</t>
  </si>
  <si>
    <t>农产品个体经营者</t>
  </si>
  <si>
    <t>本周销售自产农产品并取得收入</t>
  </si>
  <si>
    <t>P15</t>
  </si>
  <si>
    <t>何敏</t>
  </si>
  <si>
    <t>临时钟点工</t>
  </si>
  <si>
    <t>本周完成3小时有酬清洁</t>
  </si>
  <si>
    <t>P16</t>
  </si>
  <si>
    <t>丁然</t>
  </si>
  <si>
    <t>内容创作者</t>
  </si>
  <si>
    <t>本周创作并取得平台收入</t>
  </si>
  <si>
    <t>P17</t>
  </si>
  <si>
    <t>郭雪</t>
  </si>
  <si>
    <t>中学教师</t>
  </si>
  <si>
    <t>学校暑假；工资照发；新学期返岗</t>
  </si>
  <si>
    <t>本周未实际授课</t>
  </si>
  <si>
    <t>P18</t>
  </si>
  <si>
    <t>韩东</t>
  </si>
  <si>
    <t>建筑工人</t>
  </si>
  <si>
    <t>本周正常取得劳动报酬</t>
  </si>
  <si>
    <t>P19</t>
  </si>
  <si>
    <t>罗媛</t>
  </si>
  <si>
    <t>餐厅兼职</t>
  </si>
  <si>
    <t>本周有酬兼职</t>
  </si>
  <si>
    <t>P20</t>
  </si>
  <si>
    <t>马超</t>
  </si>
  <si>
    <t>小店经营者</t>
  </si>
  <si>
    <t>本周经营小店并取得收入</t>
  </si>
  <si>
    <t>P21</t>
  </si>
  <si>
    <t>许琳</t>
  </si>
  <si>
    <t>保洁员</t>
  </si>
  <si>
    <t>本周正常有酬工作</t>
  </si>
  <si>
    <t>P22</t>
  </si>
  <si>
    <t>梁博</t>
  </si>
  <si>
    <t>退休返聘保安</t>
  </si>
  <si>
    <t>本周返聘并领取工资</t>
  </si>
  <si>
    <t>P23</t>
  </si>
  <si>
    <t>苏菲</t>
  </si>
  <si>
    <t>直播带货从业者</t>
  </si>
  <si>
    <t>本周直播并取得佣金</t>
  </si>
  <si>
    <t>P24</t>
  </si>
  <si>
    <t>小何</t>
  </si>
  <si>
    <t>待业毕业生</t>
  </si>
  <si>
    <t>无</t>
  </si>
  <si>
    <t>两周内投递5份简历并参加1次面试</t>
  </si>
  <si>
    <t>目前无工作，可立即到岗</t>
  </si>
  <si>
    <t>P25</t>
  </si>
  <si>
    <t>小夏</t>
  </si>
  <si>
    <t>应届本科生</t>
  </si>
  <si>
    <t>近1个月投递3个岗位</t>
  </si>
  <si>
    <t>目前无工作，下周可到岗</t>
  </si>
  <si>
    <t>P26</t>
  </si>
  <si>
    <t>彭涛</t>
  </si>
  <si>
    <t>被裁职工</t>
  </si>
  <si>
    <t>近2周联系公共就业服务并面谈雇主</t>
  </si>
  <si>
    <t>目前无工作，3天内可到岗</t>
  </si>
  <si>
    <t>P27</t>
  </si>
  <si>
    <t>周琴</t>
  </si>
  <si>
    <t>离职人员</t>
  </si>
  <si>
    <t>上月申请2个岗位并电话跟进</t>
  </si>
  <si>
    <t>目前无工作，明日可到岗</t>
  </si>
  <si>
    <t>P28</t>
  </si>
  <si>
    <t>李国安</t>
  </si>
  <si>
    <t>暂未就业</t>
  </si>
  <si>
    <t>最近一次求职在5个月前</t>
  </si>
  <si>
    <t>仍想工作，但近3个月无实际求职</t>
  </si>
  <si>
    <t>P29</t>
  </si>
  <si>
    <t>王晨</t>
  </si>
  <si>
    <t>全日制学生</t>
  </si>
  <si>
    <t>未求职</t>
  </si>
  <si>
    <t>考试期间暂不准备工作</t>
  </si>
  <si>
    <t>P30</t>
  </si>
  <si>
    <t>刘芳</t>
  </si>
  <si>
    <t>全职家庭照护者</t>
  </si>
  <si>
    <t>未来2周承担全天照护</t>
  </si>
  <si>
    <t>P31</t>
  </si>
  <si>
    <t>郑国华</t>
  </si>
  <si>
    <t>本周无有酬活动</t>
  </si>
  <si>
    <t>P32</t>
  </si>
  <si>
    <t>钱媛</t>
  </si>
  <si>
    <t>术后恢复人员</t>
  </si>
  <si>
    <t>近1个月投递并参加面试</t>
  </si>
  <si>
    <t>医生建议3周后再开始工作</t>
  </si>
  <si>
    <t>P33</t>
  </si>
  <si>
    <t>冯远</t>
  </si>
  <si>
    <t>长期旅行者</t>
  </si>
  <si>
    <t>未来6周不在本地</t>
  </si>
  <si>
    <t>P34</t>
  </si>
  <si>
    <t>许航</t>
  </si>
  <si>
    <t>备考研究生</t>
  </si>
  <si>
    <t>未来2周不接受工作</t>
  </si>
  <si>
    <t>P35</t>
  </si>
  <si>
    <t>贾宁</t>
  </si>
  <si>
    <t>想找工作者</t>
  </si>
  <si>
    <t>近3个月只表达意愿，未投递、未联系雇主</t>
  </si>
  <si>
    <t>可以立即工作</t>
  </si>
  <si>
    <t>P36</t>
  </si>
  <si>
    <t>孟琪</t>
  </si>
  <si>
    <t>家庭照护者</t>
  </si>
  <si>
    <t>未来1个月无法离开照护岗位</t>
  </si>
  <si>
    <t>02｜独立完成V1分类</t>
  </si>
  <si>
    <t>黄色列由你填写；先完成并保存V1，再进入LMDT或外部AI；不要修改人物事实</t>
  </si>
  <si>
    <t>参考周有酬/经营小时</t>
  </si>
  <si>
    <t>暂未上班</t>
  </si>
  <si>
    <t>暂未上班事实</t>
  </si>
  <si>
    <t>求职事实</t>
  </si>
  <si>
    <t>未来2周可开始</t>
  </si>
  <si>
    <t>我的V1分类</t>
  </si>
  <si>
    <t>命中规则</t>
  </si>
  <si>
    <t>一句话依据</t>
  </si>
  <si>
    <t>完成自检</t>
  </si>
  <si>
    <t>03｜V1人数与三指标</t>
  </si>
  <si>
    <t>B列必须由你输入Excel公式；C列只帮助检查内部计算，不代表你的分类已经正确</t>
  </si>
  <si>
    <t>校验项</t>
  </si>
  <si>
    <t>我的公式/结果（请自行输入公式）</t>
  </si>
  <si>
    <t>模板交叉核对值</t>
  </si>
  <si>
    <t>公式自检</t>
  </si>
  <si>
    <t>口径提示</t>
  </si>
  <si>
    <t>W｜本课统计范围人口</t>
  </si>
  <si>
    <t>36个人物ID；本课均为16岁及以上</t>
  </si>
  <si>
    <t>E｜就业人口</t>
  </si>
  <si>
    <t>分类为E的人数</t>
  </si>
  <si>
    <t>U｜失业人口</t>
  </si>
  <si>
    <t>分类为U的人数</t>
  </si>
  <si>
    <t>N｜非劳动力</t>
  </si>
  <si>
    <t>分类为N的人数</t>
  </si>
  <si>
    <t>LF｜劳动力</t>
  </si>
  <si>
    <t>E+U</t>
  </si>
  <si>
    <t>劳动参与率</t>
  </si>
  <si>
    <t>LF/W</t>
  </si>
  <si>
    <t>就业人口比</t>
  </si>
  <si>
    <t>E/W</t>
  </si>
  <si>
    <t>失业率</t>
  </si>
  <si>
    <t>U/LF</t>
  </si>
  <si>
    <t>集合恒等校验</t>
  </si>
  <si>
    <t>E+U+N=W</t>
  </si>
  <si>
    <t>提交前自问</t>
  </si>
  <si>
    <t>我的每一个数字都来自公式，而不是照着别人结果手工填写。</t>
  </si>
  <si>
    <t>我能说清劳动参与率、就业人口比和失业率的分母为什么不同。</t>
  </si>
  <si>
    <t>E+U+N等于W，LF等于E+U。</t>
  </si>
  <si>
    <t>4</t>
  </si>
  <si>
    <t>如果分类改变，人数、比率和图表会同步改变。</t>
  </si>
  <si>
    <t>5</t>
  </si>
  <si>
    <t>单期数据不能推出上升、下降或因果。</t>
  </si>
  <si>
    <t>04｜LMDT反馈与AI审计记录</t>
  </si>
  <si>
    <t>先保存系统原始反馈，再记录外部AI原建议；你必须逐条决定接受、修改或拒绝</t>
  </si>
  <si>
    <t>LMDT核验编号</t>
  </si>
  <si>
    <t>V1上传时间</t>
  </si>
  <si>
    <t>V1客观状态</t>
  </si>
  <si>
    <t>分类问题数</t>
  </si>
  <si>
    <t>公式问题数</t>
  </si>
  <si>
    <t>系统最终状态</t>
  </si>
  <si>
    <t>LMDT入口/版本</t>
  </si>
  <si>
    <t>课堂公布；实践一专用入口待系统实现</t>
  </si>
  <si>
    <t>逐条反馈与AI审计</t>
  </si>
  <si>
    <t>序号/人物ID</t>
  </si>
  <si>
    <t>LMDT反馈码</t>
  </si>
  <si>
    <t>系统原始反馈</t>
  </si>
  <si>
    <t>AI原建议/原回答摘要</t>
  </si>
  <si>
    <t>我的判断</t>
  </si>
  <si>
    <t>证据或理由</t>
  </si>
  <si>
    <t>准备怎样改</t>
  </si>
  <si>
    <t>最终动作</t>
  </si>
  <si>
    <t>AI使用总说明</t>
  </si>
  <si>
    <t>使用的AI工具</t>
  </si>
  <si>
    <t>主要提示词</t>
  </si>
  <si>
    <t>AI最有帮助之处</t>
  </si>
  <si>
    <t>AI最需要警惕之处</t>
  </si>
  <si>
    <t>最终责任声明</t>
  </si>
  <si>
    <t>我已核对并对V2结论负责；AI没有替代我的V1判断。</t>
  </si>
  <si>
    <t>05｜形成V2分类</t>
  </si>
  <si>
    <t>保留V1原记录；V2可修改也可不改，但每一行都要写出最终规则与修改/保留理由</t>
  </si>
  <si>
    <t>V1分类</t>
  </si>
  <si>
    <t>我的V2分类</t>
  </si>
  <si>
    <t>变化状态</t>
  </si>
  <si>
    <t>最终命中规则</t>
  </si>
  <si>
    <t>修改/保留理由</t>
  </si>
  <si>
    <t>06｜V2人数、三指标与图表</t>
  </si>
  <si>
    <t>重新输入V2公式；图表随你的V2分类自动更新，但图表不能替代口径与边界说明</t>
  </si>
  <si>
    <t>分类</t>
  </si>
  <si>
    <t>模板核对人数</t>
  </si>
  <si>
    <t>E</t>
  </si>
  <si>
    <t>U</t>
  </si>
  <si>
    <t>N</t>
  </si>
  <si>
    <t>07｜汇报与提交</t>
  </si>
  <si>
    <t>先写事实，再写谨慎解释与证据边界；领导汇报不是把所有数字堆在一起</t>
  </si>
  <si>
    <t>数据时期</t>
  </si>
  <si>
    <t>单期教学快照</t>
  </si>
  <si>
    <t>W</t>
  </si>
  <si>
    <t>LF</t>
  </si>
  <si>
    <t>V1完成数</t>
  </si>
  <si>
    <t>V2完成数</t>
  </si>
  <si>
    <t>公式一致数</t>
  </si>
  <si>
    <t>应检查数</t>
  </si>
  <si>
    <t>客观准备状态</t>
  </si>
  <si>
    <t>一页领导汇报素材</t>
  </si>
  <si>
    <t>一句话事实结论</t>
  </si>
  <si>
    <t>三个关键数字</t>
  </si>
  <si>
    <t>谨慎解释</t>
  </si>
  <si>
    <t>不能推出</t>
  </si>
  <si>
    <t>下一步需补数据</t>
  </si>
  <si>
    <t>AI使用披露</t>
  </si>
  <si>
    <t>提交检查</t>
  </si>
  <si>
    <t>00表已填写班级、学号、姓名。</t>
  </si>
  <si>
    <t>V1和V2均保留36人的分类、规则和理由。</t>
  </si>
  <si>
    <t>V2九项公式自检均显示“一致”。</t>
  </si>
  <si>
    <t>已保留LMDT反馈和AI原回答/摘要，并写明接受、修改或拒绝。</t>
  </si>
  <si>
    <t>报告中包含一张图、事实结论、谨慎解释、不能推出和补证方向。</t>
  </si>
  <si>
    <t>6</t>
  </si>
  <si>
    <t>文件名为：班级_学号_姓名_实践一_劳动力市场指标诊断_V2.xlsx。</t>
  </si>
  <si>
    <t>7</t>
  </si>
  <si>
    <t>同时提交Word版LMDT核验与领导汇报报告。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</si>
</sst>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9"/>
      <color rgb="FF172335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0"/>
      <color rgb="FF2F67D8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72335"/>
      <name val="Microsoft YaHei"/>
      <family val="2"/>
      <charset val="134"/>
    </font>
    <font>
      <b/>
      <sz val="9"/>
      <color rgb="FF2F67D8"/>
      <name val="Microsoft YaHei"/>
      <family val="2"/>
      <charset val="134"/>
    </font>
    <font>
      <b/>
      <sz val="10"/>
      <color rgb="FF5E7766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color rgb="FFA8782B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72335"/>
      </patternFill>
    </fill>
    <fill>
      <patternFill patternType="solid">
        <fgColor rgb="FFEAF0FD"/>
      </patternFill>
    </fill>
    <fill>
      <patternFill patternType="solid">
        <fgColor rgb="FF203A5F"/>
      </patternFill>
    </fill>
    <fill>
      <patternFill patternType="solid">
        <fgColor rgb="FFEAF1EC"/>
      </patternFill>
    </fill>
    <fill>
      <patternFill patternType="solid">
        <fgColor rgb="FFFFF5CC"/>
      </patternFill>
    </fill>
    <fill>
      <patternFill patternType="solid">
        <fgColor rgb="FF2F67D8"/>
      </patternFill>
    </fill>
    <fill>
      <patternFill patternType="solid">
        <fgColor rgb="FFA8782B"/>
      </patternFill>
    </fill>
    <fill>
      <patternFill patternType="solid">
        <fgColor rgb="FFF7EFD9"/>
      </patternFill>
    </fill>
    <fill>
      <patternFill patternType="solid">
        <fgColor rgb="FFF3F5F7"/>
      </patternFill>
    </fill>
    <fill>
      <patternFill patternType="solid">
        <fgColor rgb="FF5E7766"/>
      </patternFill>
    </fill>
  </fills>
  <borders count="3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A8782B"/>
      </left>
      <right style="thin">
        <color rgb="FFA8782B"/>
      </right>
      <top style="thin">
        <color rgb="FFA8782B"/>
      </top>
      <bottom style="thin">
        <color rgb="FFA8782B"/>
      </bottom>
      <diagonal/>
    </border>
  </borders>
  <cellStyleXfs count="2">
    <xf numFmtId="0" fontId="0" fillId="0" borderId="0"/>
    <xf numFmtId="0" fontId="10" fillId="0" borderId="0"/>
  </cellStyleXfs>
  <cellXfs count="34">
    <xf numFmtId="0" fontId="0" fillId="0" borderId="0" xfId="0"/>
    <xf numFmtId="0" fontId="1" fillId="2" borderId="0" xfId="1" applyFont="1" applyFill="1"/>
    <xf numFmtId="0" fontId="4" fillId="5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 wrapText="1"/>
    </xf>
    <xf numFmtId="0" fontId="1" fillId="11" borderId="1" xfId="1" applyFont="1" applyFill="1" applyBorder="1" applyAlignment="1">
      <alignment horizontal="left" vertical="center" wrapText="1"/>
    </xf>
    <xf numFmtId="0" fontId="1" fillId="11" borderId="1" xfId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horizontal="left" vertical="center" wrapText="1"/>
    </xf>
    <xf numFmtId="0" fontId="6" fillId="4" borderId="1" xfId="1" applyFont="1" applyFill="1" applyBorder="1" applyAlignment="1">
      <alignment horizontal="left" vertical="center" wrapText="1"/>
    </xf>
    <xf numFmtId="10" fontId="1" fillId="7" borderId="2" xfId="1" applyNumberFormat="1" applyFont="1" applyFill="1" applyBorder="1" applyAlignment="1">
      <alignment horizontal="left" vertical="center" wrapText="1"/>
    </xf>
    <xf numFmtId="10" fontId="6" fillId="4" borderId="1" xfId="1" applyNumberFormat="1" applyFont="1" applyFill="1" applyBorder="1" applyAlignment="1">
      <alignment horizontal="left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left" vertical="center" wrapText="1"/>
    </xf>
    <xf numFmtId="10" fontId="7" fillId="6" borderId="1" xfId="1" applyNumberFormat="1" applyFont="1" applyFill="1" applyBorder="1" applyAlignment="1">
      <alignment horizontal="left" vertical="center" wrapText="1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vertical="center" wrapText="1"/>
    </xf>
    <xf numFmtId="0" fontId="8" fillId="8" borderId="0" xfId="1" applyFont="1" applyFill="1" applyAlignment="1">
      <alignment vertical="center"/>
    </xf>
    <xf numFmtId="0" fontId="5" fillId="2" borderId="1" xfId="1" applyFont="1" applyFill="1" applyBorder="1" applyAlignment="1">
      <alignment horizontal="left" vertical="center" wrapText="1"/>
    </xf>
    <xf numFmtId="0" fontId="8" fillId="9" borderId="0" xfId="1" applyFont="1" applyFill="1" applyAlignment="1">
      <alignment vertical="center"/>
    </xf>
    <xf numFmtId="0" fontId="5" fillId="10" borderId="1" xfId="1" applyFont="1" applyFill="1" applyBorder="1" applyAlignment="1">
      <alignment horizontal="left" vertical="center" wrapText="1"/>
    </xf>
    <xf numFmtId="0" fontId="5" fillId="11" borderId="1" xfId="1" applyFont="1" applyFill="1" applyBorder="1" applyAlignment="1">
      <alignment horizontal="left" vertical="center" wrapText="1"/>
    </xf>
    <xf numFmtId="0" fontId="8" fillId="12" borderId="0" xfId="1" applyFont="1" applyFill="1" applyAlignment="1">
      <alignment vertical="center"/>
    </xf>
    <xf numFmtId="0" fontId="5" fillId="6" borderId="1" xfId="1" applyFont="1" applyFill="1" applyBorder="1" applyAlignment="1">
      <alignment horizontal="left" vertical="center" wrapText="1"/>
    </xf>
    <xf numFmtId="0" fontId="1" fillId="7" borderId="2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V2劳动力市场状态人数（人）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模板核对人数</c:v>
          </c:tx>
          <c:invertIfNegative val="1"/>
          <c:cat>
            <c:strRef>
              <c:f>'06_V2指标图表'!$A$25:$A$27</c:f>
              <c:strCache>
                <c:ptCount val="3"/>
                <c:pt idx="0">
                  <c:v>E</c:v>
                </c:pt>
                <c:pt idx="1">
                  <c:v>U</c:v>
                </c:pt>
                <c:pt idx="2">
                  <c:v>N</c:v>
                </c:pt>
              </c:strCache>
            </c:strRef>
          </c:cat>
          <c:val>
            <c:numRef>
              <c:f>'06_V2指标图表'!$B$25:$B$27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4-4EBE-895A-E3F109E38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DataStudentV10" displayName="PersonDataStudentV10" ref="A5:L41" totalsRowShown="0">
  <tableColumns count="12">
    <tableColumn id="1" xr3:uid="{00000000-0010-0000-0000-000001000000}" name="人物ID"/>
    <tableColumn id="2" xr3:uid="{00000000-0010-0000-0000-000002000000}" name="化名"/>
    <tableColumn id="3" xr3:uid="{00000000-0010-0000-0000-000003000000}" name="年龄"/>
    <tableColumn id="4" xr3:uid="{00000000-0010-0000-0000-000004000000}" name="身份线索"/>
    <tableColumn id="5" xr3:uid="{00000000-0010-0000-0000-000005000000}" name="参考周有酬/经营工作小时"/>
    <tableColumn id="6" xr3:uid="{00000000-0010-0000-0000-000006000000}" name="有工作但暂未上班"/>
    <tableColumn id="7" xr3:uid="{00000000-0010-0000-0000-000007000000}" name="暂未上班判定事实"/>
    <tableColumn id="8" xr3:uid="{00000000-0010-0000-0000-000008000000}" name="近3个月实际求职"/>
    <tableColumn id="9" xr3:uid="{00000000-0010-0000-0000-000009000000}" name="求职行动事实"/>
    <tableColumn id="10" xr3:uid="{00000000-0010-0000-0000-00000A000000}" name="未来2周可开始工作"/>
    <tableColumn id="11" xr3:uid="{00000000-0010-0000-0000-00000B000000}" name="其他关键事实"/>
    <tableColumn id="12" xr3:uid="{00000000-0010-0000-0000-00000C000000}" name="数据版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tabSelected="1" workbookViewId="0">
      <selection sqref="A1:H1"/>
    </sheetView>
  </sheetViews>
  <sheetFormatPr defaultRowHeight="13.5"/>
  <cols>
    <col min="1" max="1" width="20" customWidth="1"/>
    <col min="2" max="2" width="28" customWidth="1"/>
  </cols>
  <sheetData>
    <row r="1" spans="1:8" ht="32" customHeight="1">
      <c r="A1" s="24" t="s">
        <v>0</v>
      </c>
      <c r="B1" s="24"/>
      <c r="C1" s="24"/>
      <c r="D1" s="24"/>
      <c r="E1" s="24"/>
      <c r="F1" s="24"/>
      <c r="G1" s="24"/>
      <c r="H1" s="24"/>
    </row>
    <row r="2" spans="1:8" ht="30" customHeight="1">
      <c r="A2" s="25" t="s">
        <v>1</v>
      </c>
      <c r="B2" s="25"/>
      <c r="C2" s="25"/>
      <c r="D2" s="25"/>
      <c r="E2" s="25"/>
      <c r="F2" s="25"/>
      <c r="G2" s="25"/>
      <c r="H2" s="25"/>
    </row>
    <row r="3" spans="1:8" ht="13.9">
      <c r="A3" s="1"/>
      <c r="B3" s="1"/>
      <c r="C3" s="1"/>
      <c r="D3" s="1"/>
      <c r="E3" s="1"/>
      <c r="F3" s="1"/>
      <c r="G3" s="1"/>
      <c r="H3" s="1"/>
    </row>
    <row r="4" spans="1:8" ht="14.65">
      <c r="A4" s="8" t="s">
        <v>2</v>
      </c>
      <c r="B4" s="6"/>
      <c r="C4" s="1"/>
      <c r="D4" s="1"/>
      <c r="E4" s="1"/>
      <c r="F4" s="1"/>
      <c r="G4" s="1"/>
      <c r="H4" s="1"/>
    </row>
    <row r="5" spans="1:8" ht="14.65">
      <c r="A5" s="8" t="s">
        <v>3</v>
      </c>
      <c r="B5" s="6"/>
      <c r="C5" s="1"/>
      <c r="D5" s="1"/>
      <c r="E5" s="1"/>
      <c r="F5" s="1"/>
      <c r="G5" s="1"/>
      <c r="H5" s="1"/>
    </row>
    <row r="6" spans="1:8" ht="14.65">
      <c r="A6" s="8" t="s">
        <v>4</v>
      </c>
      <c r="B6" s="6"/>
      <c r="C6" s="1"/>
      <c r="D6" s="1"/>
      <c r="E6" s="1"/>
      <c r="F6" s="1"/>
      <c r="G6" s="1"/>
      <c r="H6" s="1"/>
    </row>
    <row r="7" spans="1:8" ht="14.65">
      <c r="A7" s="8" t="s">
        <v>5</v>
      </c>
      <c r="B7" s="7" t="s">
        <v>6</v>
      </c>
      <c r="C7" s="1"/>
      <c r="D7" s="1"/>
      <c r="E7" s="1"/>
      <c r="F7" s="1"/>
      <c r="G7" s="1"/>
      <c r="H7" s="1"/>
    </row>
    <row r="8" spans="1:8" ht="14.65">
      <c r="A8" s="8" t="s">
        <v>7</v>
      </c>
      <c r="B8" s="7" t="s">
        <v>8</v>
      </c>
      <c r="C8" s="1"/>
      <c r="D8" s="1"/>
      <c r="E8" s="1"/>
      <c r="F8" s="1"/>
      <c r="G8" s="1"/>
      <c r="H8" s="1"/>
    </row>
    <row r="9" spans="1:8" ht="14.65">
      <c r="A9" s="8" t="s">
        <v>9</v>
      </c>
      <c r="B9" s="7" t="s">
        <v>10</v>
      </c>
      <c r="C9" s="1"/>
      <c r="D9" s="1"/>
      <c r="E9" s="1"/>
      <c r="F9" s="1"/>
      <c r="G9" s="1"/>
      <c r="H9" s="1"/>
    </row>
    <row r="10" spans="1:8" ht="13.9">
      <c r="A10" s="1"/>
      <c r="B10" s="1"/>
      <c r="C10" s="1"/>
      <c r="D10" s="1"/>
      <c r="E10" s="1"/>
      <c r="F10" s="1"/>
      <c r="G10" s="1"/>
      <c r="H10" s="1"/>
    </row>
    <row r="11" spans="1:8" ht="13.9">
      <c r="A11" s="1"/>
      <c r="B11" s="1"/>
      <c r="C11" s="1"/>
      <c r="D11" s="1"/>
      <c r="E11" s="1"/>
      <c r="F11" s="1"/>
      <c r="G11" s="1"/>
      <c r="H11" s="1"/>
    </row>
    <row r="12" spans="1:8" ht="26" customHeight="1">
      <c r="A12" s="26" t="s">
        <v>11</v>
      </c>
      <c r="B12" s="26"/>
      <c r="C12" s="26"/>
      <c r="D12" s="26"/>
      <c r="E12" s="26"/>
      <c r="F12" s="26"/>
      <c r="G12" s="26"/>
      <c r="H12" s="26"/>
    </row>
    <row r="13" spans="1:8" ht="34.049999999999997" customHeight="1">
      <c r="A13" s="10" t="s">
        <v>12</v>
      </c>
      <c r="B13" s="9" t="s">
        <v>13</v>
      </c>
      <c r="C13" s="27" t="s">
        <v>14</v>
      </c>
      <c r="D13" s="27"/>
      <c r="E13" s="27"/>
      <c r="F13" s="27"/>
      <c r="G13" s="27"/>
      <c r="H13" s="27"/>
    </row>
    <row r="14" spans="1:8" ht="34.049999999999997" customHeight="1">
      <c r="A14" s="10" t="s">
        <v>15</v>
      </c>
      <c r="B14" s="9" t="s">
        <v>16</v>
      </c>
      <c r="C14" s="27" t="s">
        <v>17</v>
      </c>
      <c r="D14" s="27"/>
      <c r="E14" s="27"/>
      <c r="F14" s="27"/>
      <c r="G14" s="27"/>
      <c r="H14" s="27"/>
    </row>
    <row r="15" spans="1:8" ht="34.049999999999997" customHeight="1">
      <c r="A15" s="10" t="s">
        <v>18</v>
      </c>
      <c r="B15" s="9" t="s">
        <v>19</v>
      </c>
      <c r="C15" s="27" t="s">
        <v>20</v>
      </c>
      <c r="D15" s="27"/>
      <c r="E15" s="27"/>
      <c r="F15" s="27"/>
      <c r="G15" s="27"/>
      <c r="H15" s="27"/>
    </row>
    <row r="16" spans="1:8" ht="34.049999999999997" customHeight="1">
      <c r="A16" s="10" t="s">
        <v>21</v>
      </c>
      <c r="B16" s="9" t="s">
        <v>22</v>
      </c>
      <c r="C16" s="27" t="s">
        <v>23</v>
      </c>
      <c r="D16" s="27"/>
      <c r="E16" s="27"/>
      <c r="F16" s="27"/>
      <c r="G16" s="27"/>
      <c r="H16" s="27"/>
    </row>
    <row r="17" spans="1:8" ht="34.049999999999997" customHeight="1">
      <c r="A17" s="10" t="s">
        <v>24</v>
      </c>
      <c r="B17" s="9" t="s">
        <v>25</v>
      </c>
      <c r="C17" s="27" t="s">
        <v>26</v>
      </c>
      <c r="D17" s="27"/>
      <c r="E17" s="27"/>
      <c r="F17" s="27"/>
      <c r="G17" s="27"/>
      <c r="H17" s="27"/>
    </row>
    <row r="18" spans="1:8" ht="34.049999999999997" customHeight="1">
      <c r="A18" s="10" t="s">
        <v>27</v>
      </c>
      <c r="B18" s="9" t="s">
        <v>28</v>
      </c>
      <c r="C18" s="27" t="s">
        <v>29</v>
      </c>
      <c r="D18" s="27"/>
      <c r="E18" s="27"/>
      <c r="F18" s="27"/>
      <c r="G18" s="27"/>
      <c r="H18" s="27"/>
    </row>
    <row r="19" spans="1:8" ht="34.049999999999997" customHeight="1">
      <c r="A19" s="10" t="s">
        <v>30</v>
      </c>
      <c r="B19" s="9" t="s">
        <v>31</v>
      </c>
      <c r="C19" s="27" t="s">
        <v>32</v>
      </c>
      <c r="D19" s="27"/>
      <c r="E19" s="27"/>
      <c r="F19" s="27"/>
      <c r="G19" s="27"/>
      <c r="H19" s="27"/>
    </row>
    <row r="20" spans="1:8" ht="13.9">
      <c r="A20" s="1"/>
      <c r="B20" s="1"/>
      <c r="C20" s="1"/>
      <c r="D20" s="1"/>
      <c r="E20" s="1"/>
      <c r="F20" s="1"/>
      <c r="G20" s="1"/>
      <c r="H20" s="1"/>
    </row>
    <row r="21" spans="1:8" ht="13.9">
      <c r="A21" s="1"/>
      <c r="B21" s="1"/>
      <c r="C21" s="1"/>
      <c r="D21" s="1"/>
      <c r="E21" s="1"/>
      <c r="F21" s="1"/>
      <c r="G21" s="1"/>
      <c r="H21" s="1"/>
    </row>
    <row r="22" spans="1:8" ht="26" customHeight="1">
      <c r="A22" s="28" t="s">
        <v>33</v>
      </c>
      <c r="B22" s="28"/>
      <c r="C22" s="28"/>
      <c r="D22" s="28"/>
      <c r="E22" s="28"/>
      <c r="F22" s="28"/>
      <c r="G22" s="28"/>
      <c r="H22" s="28"/>
    </row>
    <row r="23" spans="1:8" ht="34.049999999999997" customHeight="1">
      <c r="A23" s="11" t="s">
        <v>34</v>
      </c>
      <c r="B23" s="29" t="s">
        <v>35</v>
      </c>
      <c r="C23" s="29"/>
      <c r="D23" s="29"/>
      <c r="E23" s="29"/>
      <c r="F23" s="29"/>
      <c r="G23" s="29"/>
      <c r="H23" s="29"/>
    </row>
    <row r="24" spans="1:8" ht="34.049999999999997" customHeight="1">
      <c r="A24" s="11" t="s">
        <v>36</v>
      </c>
      <c r="B24" s="29" t="s">
        <v>37</v>
      </c>
      <c r="C24" s="29"/>
      <c r="D24" s="29"/>
      <c r="E24" s="29"/>
      <c r="F24" s="29"/>
      <c r="G24" s="29"/>
      <c r="H24" s="29"/>
    </row>
    <row r="25" spans="1:8" ht="34.049999999999997" customHeight="1">
      <c r="A25" s="11" t="s">
        <v>38</v>
      </c>
      <c r="B25" s="29" t="s">
        <v>39</v>
      </c>
      <c r="C25" s="29"/>
      <c r="D25" s="29"/>
      <c r="E25" s="29"/>
      <c r="F25" s="29"/>
      <c r="G25" s="29"/>
      <c r="H25" s="29"/>
    </row>
    <row r="26" spans="1:8" ht="13.9">
      <c r="A26" s="1"/>
      <c r="B26" s="1"/>
      <c r="C26" s="1"/>
      <c r="D26" s="1"/>
      <c r="E26" s="1"/>
      <c r="F26" s="1"/>
      <c r="G26" s="1"/>
      <c r="H26" s="1"/>
    </row>
    <row r="27" spans="1:8" ht="13.9">
      <c r="A27" s="1"/>
      <c r="B27" s="1"/>
      <c r="C27" s="1"/>
      <c r="D27" s="1"/>
      <c r="E27" s="1"/>
      <c r="F27" s="1"/>
      <c r="G27" s="1"/>
      <c r="H27" s="1"/>
    </row>
    <row r="28" spans="1:8">
      <c r="A28" s="30" t="s">
        <v>40</v>
      </c>
      <c r="B28" s="30"/>
      <c r="C28" s="30"/>
      <c r="D28" s="30"/>
      <c r="E28" s="30"/>
      <c r="F28" s="30"/>
      <c r="G28" s="30"/>
      <c r="H28" s="30"/>
    </row>
    <row r="29" spans="1:8">
      <c r="A29" s="30"/>
      <c r="B29" s="30"/>
      <c r="C29" s="30"/>
      <c r="D29" s="30"/>
      <c r="E29" s="30"/>
      <c r="F29" s="30"/>
      <c r="G29" s="30"/>
      <c r="H29" s="30"/>
    </row>
    <row r="30" spans="1:8" ht="13.9">
      <c r="A30" s="1"/>
      <c r="B30" s="1"/>
      <c r="C30" s="1"/>
      <c r="D30" s="1"/>
      <c r="E30" s="1"/>
      <c r="F30" s="1"/>
      <c r="G30" s="1"/>
      <c r="H30" s="1"/>
    </row>
  </sheetData>
  <mergeCells count="15">
    <mergeCell ref="A22:H22"/>
    <mergeCell ref="B23:H23"/>
    <mergeCell ref="B24:H24"/>
    <mergeCell ref="B25:H25"/>
    <mergeCell ref="A28:H29"/>
    <mergeCell ref="C15:H15"/>
    <mergeCell ref="C16:H16"/>
    <mergeCell ref="C17:H17"/>
    <mergeCell ref="C18:H18"/>
    <mergeCell ref="C19:H19"/>
    <mergeCell ref="A1:H1"/>
    <mergeCell ref="A2:H2"/>
    <mergeCell ref="A12:H12"/>
    <mergeCell ref="C13:H13"/>
    <mergeCell ref="C14:H14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showGridLines="0" workbookViewId="0"/>
  </sheetViews>
  <sheetFormatPr defaultRowHeight="13.5"/>
  <cols>
    <col min="1" max="2" width="10" customWidth="1"/>
    <col min="3" max="3" width="8" customWidth="1"/>
    <col min="4" max="4" width="18" customWidth="1"/>
    <col min="5" max="6" width="16" customWidth="1"/>
    <col min="7" max="7" width="32" customWidth="1"/>
    <col min="8" max="8" width="15" customWidth="1"/>
    <col min="9" max="9" width="34" customWidth="1"/>
    <col min="10" max="10" width="16" customWidth="1"/>
    <col min="11" max="11" width="32" customWidth="1"/>
    <col min="12" max="12" width="17" customWidth="1"/>
  </cols>
  <sheetData>
    <row r="1" spans="1:12" ht="32" customHeight="1">
      <c r="A1" s="24" t="s">
        <v>41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30" customHeight="1">
      <c r="A2" s="25" t="s">
        <v>42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3.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3.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2" customHeight="1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54</v>
      </c>
    </row>
    <row r="6" spans="1:12" ht="36" customHeight="1">
      <c r="A6" s="4" t="s">
        <v>55</v>
      </c>
      <c r="B6" s="4" t="s">
        <v>56</v>
      </c>
      <c r="C6" s="4">
        <v>32</v>
      </c>
      <c r="D6" s="4" t="s">
        <v>57</v>
      </c>
      <c r="E6" s="4">
        <v>40</v>
      </c>
      <c r="F6" s="4" t="s">
        <v>58</v>
      </c>
      <c r="G6" s="3" t="s">
        <v>59</v>
      </c>
      <c r="H6" s="4" t="s">
        <v>59</v>
      </c>
      <c r="I6" s="3" t="s">
        <v>59</v>
      </c>
      <c r="J6" s="4" t="s">
        <v>59</v>
      </c>
      <c r="K6" s="3" t="s">
        <v>60</v>
      </c>
      <c r="L6" s="4" t="s">
        <v>8</v>
      </c>
    </row>
    <row r="7" spans="1:12" ht="36" customHeight="1">
      <c r="A7" s="4" t="s">
        <v>61</v>
      </c>
      <c r="B7" s="4" t="s">
        <v>62</v>
      </c>
      <c r="C7" s="4">
        <v>27</v>
      </c>
      <c r="D7" s="4" t="s">
        <v>63</v>
      </c>
      <c r="E7" s="4">
        <v>6</v>
      </c>
      <c r="F7" s="4" t="s">
        <v>58</v>
      </c>
      <c r="G7" s="3" t="s">
        <v>59</v>
      </c>
      <c r="H7" s="4" t="s">
        <v>59</v>
      </c>
      <c r="I7" s="3" t="s">
        <v>59</v>
      </c>
      <c r="J7" s="4" t="s">
        <v>59</v>
      </c>
      <c r="K7" s="3" t="s">
        <v>64</v>
      </c>
      <c r="L7" s="4" t="s">
        <v>8</v>
      </c>
    </row>
    <row r="8" spans="1:12" ht="36" customHeight="1">
      <c r="A8" s="4" t="s">
        <v>65</v>
      </c>
      <c r="B8" s="4" t="s">
        <v>66</v>
      </c>
      <c r="C8" s="4">
        <v>20</v>
      </c>
      <c r="D8" s="4" t="s">
        <v>67</v>
      </c>
      <c r="E8" s="4">
        <v>8</v>
      </c>
      <c r="F8" s="4" t="s">
        <v>58</v>
      </c>
      <c r="G8" s="3" t="s">
        <v>59</v>
      </c>
      <c r="H8" s="4" t="s">
        <v>59</v>
      </c>
      <c r="I8" s="3" t="s">
        <v>59</v>
      </c>
      <c r="J8" s="4" t="s">
        <v>59</v>
      </c>
      <c r="K8" s="3" t="s">
        <v>68</v>
      </c>
      <c r="L8" s="4" t="s">
        <v>8</v>
      </c>
    </row>
    <row r="9" spans="1:12" ht="36" customHeight="1">
      <c r="A9" s="4" t="s">
        <v>69</v>
      </c>
      <c r="B9" s="4" t="s">
        <v>70</v>
      </c>
      <c r="C9" s="4">
        <v>45</v>
      </c>
      <c r="D9" s="4" t="s">
        <v>71</v>
      </c>
      <c r="E9" s="4">
        <v>0</v>
      </c>
      <c r="F9" s="4" t="s">
        <v>72</v>
      </c>
      <c r="G9" s="3" t="s">
        <v>73</v>
      </c>
      <c r="H9" s="4" t="s">
        <v>59</v>
      </c>
      <c r="I9" s="3" t="s">
        <v>59</v>
      </c>
      <c r="J9" s="4" t="s">
        <v>59</v>
      </c>
      <c r="K9" s="3" t="s">
        <v>74</v>
      </c>
      <c r="L9" s="4" t="s">
        <v>8</v>
      </c>
    </row>
    <row r="10" spans="1:12" ht="36" customHeight="1">
      <c r="A10" s="4" t="s">
        <v>75</v>
      </c>
      <c r="B10" s="4" t="s">
        <v>76</v>
      </c>
      <c r="C10" s="4">
        <v>39</v>
      </c>
      <c r="D10" s="4" t="s">
        <v>77</v>
      </c>
      <c r="E10" s="4">
        <v>25</v>
      </c>
      <c r="F10" s="4" t="s">
        <v>58</v>
      </c>
      <c r="G10" s="3" t="s">
        <v>59</v>
      </c>
      <c r="H10" s="4" t="s">
        <v>59</v>
      </c>
      <c r="I10" s="3" t="s">
        <v>59</v>
      </c>
      <c r="J10" s="4" t="s">
        <v>59</v>
      </c>
      <c r="K10" s="3" t="s">
        <v>78</v>
      </c>
      <c r="L10" s="4" t="s">
        <v>8</v>
      </c>
    </row>
    <row r="11" spans="1:12" ht="36" customHeight="1">
      <c r="A11" s="4" t="s">
        <v>79</v>
      </c>
      <c r="B11" s="4" t="s">
        <v>80</v>
      </c>
      <c r="C11" s="4">
        <v>66</v>
      </c>
      <c r="D11" s="4" t="s">
        <v>81</v>
      </c>
      <c r="E11" s="4">
        <v>10</v>
      </c>
      <c r="F11" s="4" t="s">
        <v>58</v>
      </c>
      <c r="G11" s="3" t="s">
        <v>59</v>
      </c>
      <c r="H11" s="4" t="s">
        <v>59</v>
      </c>
      <c r="I11" s="3" t="s">
        <v>59</v>
      </c>
      <c r="J11" s="4" t="s">
        <v>59</v>
      </c>
      <c r="K11" s="3" t="s">
        <v>82</v>
      </c>
      <c r="L11" s="4" t="s">
        <v>8</v>
      </c>
    </row>
    <row r="12" spans="1:12" ht="36" customHeight="1">
      <c r="A12" s="4" t="s">
        <v>83</v>
      </c>
      <c r="B12" s="4" t="s">
        <v>84</v>
      </c>
      <c r="C12" s="4">
        <v>34</v>
      </c>
      <c r="D12" s="4" t="s">
        <v>85</v>
      </c>
      <c r="E12" s="4">
        <v>30</v>
      </c>
      <c r="F12" s="4" t="s">
        <v>58</v>
      </c>
      <c r="G12" s="3" t="s">
        <v>59</v>
      </c>
      <c r="H12" s="4" t="s">
        <v>59</v>
      </c>
      <c r="I12" s="3" t="s">
        <v>59</v>
      </c>
      <c r="J12" s="4" t="s">
        <v>59</v>
      </c>
      <c r="K12" s="3" t="s">
        <v>86</v>
      </c>
      <c r="L12" s="4" t="s">
        <v>8</v>
      </c>
    </row>
    <row r="13" spans="1:12" ht="36" customHeight="1">
      <c r="A13" s="4" t="s">
        <v>87</v>
      </c>
      <c r="B13" s="4" t="s">
        <v>88</v>
      </c>
      <c r="C13" s="4">
        <v>24</v>
      </c>
      <c r="D13" s="4" t="s">
        <v>89</v>
      </c>
      <c r="E13" s="4">
        <v>35</v>
      </c>
      <c r="F13" s="4" t="s">
        <v>58</v>
      </c>
      <c r="G13" s="3" t="s">
        <v>59</v>
      </c>
      <c r="H13" s="4" t="s">
        <v>59</v>
      </c>
      <c r="I13" s="3" t="s">
        <v>59</v>
      </c>
      <c r="J13" s="4" t="s">
        <v>59</v>
      </c>
      <c r="K13" s="3" t="s">
        <v>90</v>
      </c>
      <c r="L13" s="4" t="s">
        <v>8</v>
      </c>
    </row>
    <row r="14" spans="1:12" ht="36" customHeight="1">
      <c r="A14" s="4" t="s">
        <v>91</v>
      </c>
      <c r="B14" s="4" t="s">
        <v>92</v>
      </c>
      <c r="C14" s="4">
        <v>51</v>
      </c>
      <c r="D14" s="4" t="s">
        <v>93</v>
      </c>
      <c r="E14" s="4">
        <v>20</v>
      </c>
      <c r="F14" s="4" t="s">
        <v>58</v>
      </c>
      <c r="G14" s="3" t="s">
        <v>59</v>
      </c>
      <c r="H14" s="4" t="s">
        <v>59</v>
      </c>
      <c r="I14" s="3" t="s">
        <v>59</v>
      </c>
      <c r="J14" s="4" t="s">
        <v>59</v>
      </c>
      <c r="K14" s="3" t="s">
        <v>94</v>
      </c>
      <c r="L14" s="4" t="s">
        <v>8</v>
      </c>
    </row>
    <row r="15" spans="1:12" ht="36" customHeight="1">
      <c r="A15" s="4" t="s">
        <v>95</v>
      </c>
      <c r="B15" s="4" t="s">
        <v>96</v>
      </c>
      <c r="C15" s="4">
        <v>29</v>
      </c>
      <c r="D15" s="4" t="s">
        <v>97</v>
      </c>
      <c r="E15" s="4">
        <v>18</v>
      </c>
      <c r="F15" s="4" t="s">
        <v>58</v>
      </c>
      <c r="G15" s="3" t="s">
        <v>59</v>
      </c>
      <c r="H15" s="4" t="s">
        <v>59</v>
      </c>
      <c r="I15" s="3" t="s">
        <v>59</v>
      </c>
      <c r="J15" s="4" t="s">
        <v>59</v>
      </c>
      <c r="K15" s="3" t="s">
        <v>98</v>
      </c>
      <c r="L15" s="4" t="s">
        <v>8</v>
      </c>
    </row>
    <row r="16" spans="1:12" ht="36" customHeight="1">
      <c r="A16" s="4" t="s">
        <v>99</v>
      </c>
      <c r="B16" s="4" t="s">
        <v>100</v>
      </c>
      <c r="C16" s="4">
        <v>28</v>
      </c>
      <c r="D16" s="4" t="s">
        <v>101</v>
      </c>
      <c r="E16" s="4">
        <v>0</v>
      </c>
      <c r="F16" s="4" t="s">
        <v>72</v>
      </c>
      <c r="G16" s="3" t="s">
        <v>102</v>
      </c>
      <c r="H16" s="4" t="s">
        <v>59</v>
      </c>
      <c r="I16" s="3" t="s">
        <v>59</v>
      </c>
      <c r="J16" s="4" t="s">
        <v>59</v>
      </c>
      <c r="K16" s="3" t="s">
        <v>74</v>
      </c>
      <c r="L16" s="4" t="s">
        <v>8</v>
      </c>
    </row>
    <row r="17" spans="1:12" ht="36" customHeight="1">
      <c r="A17" s="4" t="s">
        <v>103</v>
      </c>
      <c r="B17" s="4" t="s">
        <v>104</v>
      </c>
      <c r="C17" s="4">
        <v>41</v>
      </c>
      <c r="D17" s="4" t="s">
        <v>105</v>
      </c>
      <c r="E17" s="4">
        <v>0</v>
      </c>
      <c r="F17" s="4" t="s">
        <v>72</v>
      </c>
      <c r="G17" s="3" t="s">
        <v>106</v>
      </c>
      <c r="H17" s="4" t="s">
        <v>59</v>
      </c>
      <c r="I17" s="3" t="s">
        <v>59</v>
      </c>
      <c r="J17" s="4" t="s">
        <v>59</v>
      </c>
      <c r="K17" s="3" t="s">
        <v>74</v>
      </c>
      <c r="L17" s="4" t="s">
        <v>8</v>
      </c>
    </row>
    <row r="18" spans="1:12" ht="36" customHeight="1">
      <c r="A18" s="4" t="s">
        <v>107</v>
      </c>
      <c r="B18" s="4" t="s">
        <v>108</v>
      </c>
      <c r="C18" s="4">
        <v>22</v>
      </c>
      <c r="D18" s="4" t="s">
        <v>109</v>
      </c>
      <c r="E18" s="4">
        <v>1</v>
      </c>
      <c r="F18" s="4" t="s">
        <v>58</v>
      </c>
      <c r="G18" s="3" t="s">
        <v>59</v>
      </c>
      <c r="H18" s="4" t="s">
        <v>59</v>
      </c>
      <c r="I18" s="3" t="s">
        <v>59</v>
      </c>
      <c r="J18" s="4" t="s">
        <v>59</v>
      </c>
      <c r="K18" s="3" t="s">
        <v>110</v>
      </c>
      <c r="L18" s="4" t="s">
        <v>8</v>
      </c>
    </row>
    <row r="19" spans="1:12" ht="36" customHeight="1">
      <c r="A19" s="4" t="s">
        <v>111</v>
      </c>
      <c r="B19" s="4" t="s">
        <v>112</v>
      </c>
      <c r="C19" s="4">
        <v>58</v>
      </c>
      <c r="D19" s="4" t="s">
        <v>113</v>
      </c>
      <c r="E19" s="4">
        <v>16</v>
      </c>
      <c r="F19" s="4" t="s">
        <v>58</v>
      </c>
      <c r="G19" s="3" t="s">
        <v>59</v>
      </c>
      <c r="H19" s="4" t="s">
        <v>59</v>
      </c>
      <c r="I19" s="3" t="s">
        <v>59</v>
      </c>
      <c r="J19" s="4" t="s">
        <v>59</v>
      </c>
      <c r="K19" s="3" t="s">
        <v>114</v>
      </c>
      <c r="L19" s="4" t="s">
        <v>8</v>
      </c>
    </row>
    <row r="20" spans="1:12" ht="36" customHeight="1">
      <c r="A20" s="4" t="s">
        <v>115</v>
      </c>
      <c r="B20" s="4" t="s">
        <v>116</v>
      </c>
      <c r="C20" s="4">
        <v>37</v>
      </c>
      <c r="D20" s="4" t="s">
        <v>117</v>
      </c>
      <c r="E20" s="4">
        <v>3</v>
      </c>
      <c r="F20" s="4" t="s">
        <v>58</v>
      </c>
      <c r="G20" s="3" t="s">
        <v>59</v>
      </c>
      <c r="H20" s="4" t="s">
        <v>59</v>
      </c>
      <c r="I20" s="3" t="s">
        <v>59</v>
      </c>
      <c r="J20" s="4" t="s">
        <v>59</v>
      </c>
      <c r="K20" s="3" t="s">
        <v>118</v>
      </c>
      <c r="L20" s="4" t="s">
        <v>8</v>
      </c>
    </row>
    <row r="21" spans="1:12" ht="36" customHeight="1">
      <c r="A21" s="4" t="s">
        <v>119</v>
      </c>
      <c r="B21" s="4" t="s">
        <v>120</v>
      </c>
      <c r="C21" s="4">
        <v>26</v>
      </c>
      <c r="D21" s="4" t="s">
        <v>121</v>
      </c>
      <c r="E21" s="4">
        <v>12</v>
      </c>
      <c r="F21" s="4" t="s">
        <v>58</v>
      </c>
      <c r="G21" s="3" t="s">
        <v>59</v>
      </c>
      <c r="H21" s="4" t="s">
        <v>59</v>
      </c>
      <c r="I21" s="3" t="s">
        <v>59</v>
      </c>
      <c r="J21" s="4" t="s">
        <v>59</v>
      </c>
      <c r="K21" s="3" t="s">
        <v>122</v>
      </c>
      <c r="L21" s="4" t="s">
        <v>8</v>
      </c>
    </row>
    <row r="22" spans="1:12" ht="36" customHeight="1">
      <c r="A22" s="4" t="s">
        <v>123</v>
      </c>
      <c r="B22" s="4" t="s">
        <v>124</v>
      </c>
      <c r="C22" s="4">
        <v>43</v>
      </c>
      <c r="D22" s="4" t="s">
        <v>125</v>
      </c>
      <c r="E22" s="4">
        <v>0</v>
      </c>
      <c r="F22" s="4" t="s">
        <v>72</v>
      </c>
      <c r="G22" s="3" t="s">
        <v>126</v>
      </c>
      <c r="H22" s="4" t="s">
        <v>59</v>
      </c>
      <c r="I22" s="3" t="s">
        <v>59</v>
      </c>
      <c r="J22" s="4" t="s">
        <v>59</v>
      </c>
      <c r="K22" s="3" t="s">
        <v>127</v>
      </c>
      <c r="L22" s="4" t="s">
        <v>8</v>
      </c>
    </row>
    <row r="23" spans="1:12" ht="36" customHeight="1">
      <c r="A23" s="4" t="s">
        <v>128</v>
      </c>
      <c r="B23" s="4" t="s">
        <v>129</v>
      </c>
      <c r="C23" s="4">
        <v>54</v>
      </c>
      <c r="D23" s="4" t="s">
        <v>130</v>
      </c>
      <c r="E23" s="4">
        <v>32</v>
      </c>
      <c r="F23" s="4" t="s">
        <v>58</v>
      </c>
      <c r="G23" s="3" t="s">
        <v>59</v>
      </c>
      <c r="H23" s="4" t="s">
        <v>59</v>
      </c>
      <c r="I23" s="3" t="s">
        <v>59</v>
      </c>
      <c r="J23" s="4" t="s">
        <v>59</v>
      </c>
      <c r="K23" s="3" t="s">
        <v>131</v>
      </c>
      <c r="L23" s="4" t="s">
        <v>8</v>
      </c>
    </row>
    <row r="24" spans="1:12" ht="36" customHeight="1">
      <c r="A24" s="4" t="s">
        <v>132</v>
      </c>
      <c r="B24" s="4" t="s">
        <v>133</v>
      </c>
      <c r="C24" s="4">
        <v>19</v>
      </c>
      <c r="D24" s="4" t="s">
        <v>134</v>
      </c>
      <c r="E24" s="4">
        <v>12</v>
      </c>
      <c r="F24" s="4" t="s">
        <v>58</v>
      </c>
      <c r="G24" s="3" t="s">
        <v>59</v>
      </c>
      <c r="H24" s="4" t="s">
        <v>59</v>
      </c>
      <c r="I24" s="3" t="s">
        <v>59</v>
      </c>
      <c r="J24" s="4" t="s">
        <v>59</v>
      </c>
      <c r="K24" s="3" t="s">
        <v>135</v>
      </c>
      <c r="L24" s="4" t="s">
        <v>8</v>
      </c>
    </row>
    <row r="25" spans="1:12" ht="36" customHeight="1">
      <c r="A25" s="4" t="s">
        <v>136</v>
      </c>
      <c r="B25" s="4" t="s">
        <v>137</v>
      </c>
      <c r="C25" s="4">
        <v>35</v>
      </c>
      <c r="D25" s="4" t="s">
        <v>138</v>
      </c>
      <c r="E25" s="4">
        <v>45</v>
      </c>
      <c r="F25" s="4" t="s">
        <v>58</v>
      </c>
      <c r="G25" s="3" t="s">
        <v>59</v>
      </c>
      <c r="H25" s="4" t="s">
        <v>59</v>
      </c>
      <c r="I25" s="3" t="s">
        <v>59</v>
      </c>
      <c r="J25" s="4" t="s">
        <v>59</v>
      </c>
      <c r="K25" s="3" t="s">
        <v>139</v>
      </c>
      <c r="L25" s="4" t="s">
        <v>8</v>
      </c>
    </row>
    <row r="26" spans="1:12" ht="36" customHeight="1">
      <c r="A26" s="4" t="s">
        <v>140</v>
      </c>
      <c r="B26" s="4" t="s">
        <v>141</v>
      </c>
      <c r="C26" s="4">
        <v>47</v>
      </c>
      <c r="D26" s="4" t="s">
        <v>142</v>
      </c>
      <c r="E26" s="4">
        <v>20</v>
      </c>
      <c r="F26" s="4" t="s">
        <v>58</v>
      </c>
      <c r="G26" s="3" t="s">
        <v>59</v>
      </c>
      <c r="H26" s="4" t="s">
        <v>59</v>
      </c>
      <c r="I26" s="3" t="s">
        <v>59</v>
      </c>
      <c r="J26" s="4" t="s">
        <v>59</v>
      </c>
      <c r="K26" s="3" t="s">
        <v>143</v>
      </c>
      <c r="L26" s="4" t="s">
        <v>8</v>
      </c>
    </row>
    <row r="27" spans="1:12" ht="36" customHeight="1">
      <c r="A27" s="4" t="s">
        <v>144</v>
      </c>
      <c r="B27" s="4" t="s">
        <v>145</v>
      </c>
      <c r="C27" s="4">
        <v>61</v>
      </c>
      <c r="D27" s="4" t="s">
        <v>146</v>
      </c>
      <c r="E27" s="4">
        <v>30</v>
      </c>
      <c r="F27" s="4" t="s">
        <v>58</v>
      </c>
      <c r="G27" s="3" t="s">
        <v>59</v>
      </c>
      <c r="H27" s="4" t="s">
        <v>59</v>
      </c>
      <c r="I27" s="3" t="s">
        <v>59</v>
      </c>
      <c r="J27" s="4" t="s">
        <v>59</v>
      </c>
      <c r="K27" s="3" t="s">
        <v>147</v>
      </c>
      <c r="L27" s="4" t="s">
        <v>8</v>
      </c>
    </row>
    <row r="28" spans="1:12" ht="36" customHeight="1">
      <c r="A28" s="4" t="s">
        <v>148</v>
      </c>
      <c r="B28" s="4" t="s">
        <v>149</v>
      </c>
      <c r="C28" s="4">
        <v>30</v>
      </c>
      <c r="D28" s="4" t="s">
        <v>150</v>
      </c>
      <c r="E28" s="4">
        <v>9</v>
      </c>
      <c r="F28" s="4" t="s">
        <v>58</v>
      </c>
      <c r="G28" s="3" t="s">
        <v>59</v>
      </c>
      <c r="H28" s="4" t="s">
        <v>59</v>
      </c>
      <c r="I28" s="3" t="s">
        <v>59</v>
      </c>
      <c r="J28" s="4" t="s">
        <v>59</v>
      </c>
      <c r="K28" s="3" t="s">
        <v>151</v>
      </c>
      <c r="L28" s="4" t="s">
        <v>8</v>
      </c>
    </row>
    <row r="29" spans="1:12" ht="36" customHeight="1">
      <c r="A29" s="4" t="s">
        <v>152</v>
      </c>
      <c r="B29" s="4" t="s">
        <v>153</v>
      </c>
      <c r="C29" s="4">
        <v>23</v>
      </c>
      <c r="D29" s="4" t="s">
        <v>154</v>
      </c>
      <c r="E29" s="4">
        <v>0</v>
      </c>
      <c r="F29" s="4" t="s">
        <v>58</v>
      </c>
      <c r="G29" s="3" t="s">
        <v>155</v>
      </c>
      <c r="H29" s="4" t="s">
        <v>72</v>
      </c>
      <c r="I29" s="3" t="s">
        <v>156</v>
      </c>
      <c r="J29" s="4" t="s">
        <v>72</v>
      </c>
      <c r="K29" s="3" t="s">
        <v>157</v>
      </c>
      <c r="L29" s="4" t="s">
        <v>8</v>
      </c>
    </row>
    <row r="30" spans="1:12" ht="36" customHeight="1">
      <c r="A30" s="4" t="s">
        <v>158</v>
      </c>
      <c r="B30" s="4" t="s">
        <v>159</v>
      </c>
      <c r="C30" s="4">
        <v>21</v>
      </c>
      <c r="D30" s="4" t="s">
        <v>160</v>
      </c>
      <c r="E30" s="4">
        <v>0</v>
      </c>
      <c r="F30" s="4" t="s">
        <v>58</v>
      </c>
      <c r="G30" s="3" t="s">
        <v>155</v>
      </c>
      <c r="H30" s="4" t="s">
        <v>72</v>
      </c>
      <c r="I30" s="3" t="s">
        <v>161</v>
      </c>
      <c r="J30" s="4" t="s">
        <v>72</v>
      </c>
      <c r="K30" s="3" t="s">
        <v>162</v>
      </c>
      <c r="L30" s="4" t="s">
        <v>8</v>
      </c>
    </row>
    <row r="31" spans="1:12" ht="36" customHeight="1">
      <c r="A31" s="4" t="s">
        <v>163</v>
      </c>
      <c r="B31" s="4" t="s">
        <v>164</v>
      </c>
      <c r="C31" s="4">
        <v>42</v>
      </c>
      <c r="D31" s="4" t="s">
        <v>165</v>
      </c>
      <c r="E31" s="4">
        <v>0</v>
      </c>
      <c r="F31" s="4" t="s">
        <v>58</v>
      </c>
      <c r="G31" s="3" t="s">
        <v>155</v>
      </c>
      <c r="H31" s="4" t="s">
        <v>72</v>
      </c>
      <c r="I31" s="3" t="s">
        <v>166</v>
      </c>
      <c r="J31" s="4" t="s">
        <v>72</v>
      </c>
      <c r="K31" s="3" t="s">
        <v>167</v>
      </c>
      <c r="L31" s="4" t="s">
        <v>8</v>
      </c>
    </row>
    <row r="32" spans="1:12" ht="36" customHeight="1">
      <c r="A32" s="4" t="s">
        <v>168</v>
      </c>
      <c r="B32" s="4" t="s">
        <v>169</v>
      </c>
      <c r="C32" s="4">
        <v>36</v>
      </c>
      <c r="D32" s="4" t="s">
        <v>170</v>
      </c>
      <c r="E32" s="4">
        <v>0</v>
      </c>
      <c r="F32" s="4" t="s">
        <v>58</v>
      </c>
      <c r="G32" s="3" t="s">
        <v>155</v>
      </c>
      <c r="H32" s="4" t="s">
        <v>72</v>
      </c>
      <c r="I32" s="3" t="s">
        <v>171</v>
      </c>
      <c r="J32" s="4" t="s">
        <v>72</v>
      </c>
      <c r="K32" s="3" t="s">
        <v>172</v>
      </c>
      <c r="L32" s="4" t="s">
        <v>8</v>
      </c>
    </row>
    <row r="33" spans="1:12" ht="36" customHeight="1">
      <c r="A33" s="4" t="s">
        <v>173</v>
      </c>
      <c r="B33" s="4" t="s">
        <v>174</v>
      </c>
      <c r="C33" s="4">
        <v>50</v>
      </c>
      <c r="D33" s="4" t="s">
        <v>175</v>
      </c>
      <c r="E33" s="4">
        <v>0</v>
      </c>
      <c r="F33" s="4" t="s">
        <v>58</v>
      </c>
      <c r="G33" s="3" t="s">
        <v>155</v>
      </c>
      <c r="H33" s="4" t="s">
        <v>58</v>
      </c>
      <c r="I33" s="3" t="s">
        <v>176</v>
      </c>
      <c r="J33" s="4" t="s">
        <v>72</v>
      </c>
      <c r="K33" s="3" t="s">
        <v>177</v>
      </c>
      <c r="L33" s="4" t="s">
        <v>8</v>
      </c>
    </row>
    <row r="34" spans="1:12" ht="36" customHeight="1">
      <c r="A34" s="4" t="s">
        <v>178</v>
      </c>
      <c r="B34" s="4" t="s">
        <v>179</v>
      </c>
      <c r="C34" s="4">
        <v>19</v>
      </c>
      <c r="D34" s="4" t="s">
        <v>180</v>
      </c>
      <c r="E34" s="4">
        <v>0</v>
      </c>
      <c r="F34" s="4" t="s">
        <v>58</v>
      </c>
      <c r="G34" s="3" t="s">
        <v>155</v>
      </c>
      <c r="H34" s="4" t="s">
        <v>58</v>
      </c>
      <c r="I34" s="3" t="s">
        <v>181</v>
      </c>
      <c r="J34" s="4" t="s">
        <v>58</v>
      </c>
      <c r="K34" s="3" t="s">
        <v>182</v>
      </c>
      <c r="L34" s="4" t="s">
        <v>8</v>
      </c>
    </row>
    <row r="35" spans="1:12" ht="36" customHeight="1">
      <c r="A35" s="4" t="s">
        <v>183</v>
      </c>
      <c r="B35" s="4" t="s">
        <v>184</v>
      </c>
      <c r="C35" s="4">
        <v>46</v>
      </c>
      <c r="D35" s="4" t="s">
        <v>185</v>
      </c>
      <c r="E35" s="4">
        <v>0</v>
      </c>
      <c r="F35" s="4" t="s">
        <v>58</v>
      </c>
      <c r="G35" s="3" t="s">
        <v>155</v>
      </c>
      <c r="H35" s="4" t="s">
        <v>58</v>
      </c>
      <c r="I35" s="3" t="s">
        <v>181</v>
      </c>
      <c r="J35" s="4" t="s">
        <v>58</v>
      </c>
      <c r="K35" s="3" t="s">
        <v>186</v>
      </c>
      <c r="L35" s="4" t="s">
        <v>8</v>
      </c>
    </row>
    <row r="36" spans="1:12" ht="36" customHeight="1">
      <c r="A36" s="4" t="s">
        <v>187</v>
      </c>
      <c r="B36" s="4" t="s">
        <v>188</v>
      </c>
      <c r="C36" s="4">
        <v>69</v>
      </c>
      <c r="D36" s="4" t="s">
        <v>81</v>
      </c>
      <c r="E36" s="4">
        <v>0</v>
      </c>
      <c r="F36" s="4" t="s">
        <v>58</v>
      </c>
      <c r="G36" s="3" t="s">
        <v>155</v>
      </c>
      <c r="H36" s="4" t="s">
        <v>58</v>
      </c>
      <c r="I36" s="3" t="s">
        <v>181</v>
      </c>
      <c r="J36" s="4" t="s">
        <v>58</v>
      </c>
      <c r="K36" s="3" t="s">
        <v>189</v>
      </c>
      <c r="L36" s="4" t="s">
        <v>8</v>
      </c>
    </row>
    <row r="37" spans="1:12" ht="36" customHeight="1">
      <c r="A37" s="4" t="s">
        <v>190</v>
      </c>
      <c r="B37" s="4" t="s">
        <v>191</v>
      </c>
      <c r="C37" s="4">
        <v>33</v>
      </c>
      <c r="D37" s="4" t="s">
        <v>192</v>
      </c>
      <c r="E37" s="4">
        <v>0</v>
      </c>
      <c r="F37" s="4" t="s">
        <v>58</v>
      </c>
      <c r="G37" s="3" t="s">
        <v>155</v>
      </c>
      <c r="H37" s="4" t="s">
        <v>72</v>
      </c>
      <c r="I37" s="3" t="s">
        <v>193</v>
      </c>
      <c r="J37" s="4" t="s">
        <v>58</v>
      </c>
      <c r="K37" s="3" t="s">
        <v>194</v>
      </c>
      <c r="L37" s="4" t="s">
        <v>8</v>
      </c>
    </row>
    <row r="38" spans="1:12" ht="36" customHeight="1">
      <c r="A38" s="4" t="s">
        <v>195</v>
      </c>
      <c r="B38" s="4" t="s">
        <v>196</v>
      </c>
      <c r="C38" s="4">
        <v>28</v>
      </c>
      <c r="D38" s="4" t="s">
        <v>197</v>
      </c>
      <c r="E38" s="4">
        <v>0</v>
      </c>
      <c r="F38" s="4" t="s">
        <v>58</v>
      </c>
      <c r="G38" s="3" t="s">
        <v>155</v>
      </c>
      <c r="H38" s="4" t="s">
        <v>58</v>
      </c>
      <c r="I38" s="3" t="s">
        <v>181</v>
      </c>
      <c r="J38" s="4" t="s">
        <v>58</v>
      </c>
      <c r="K38" s="3" t="s">
        <v>198</v>
      </c>
      <c r="L38" s="4" t="s">
        <v>8</v>
      </c>
    </row>
    <row r="39" spans="1:12" ht="36" customHeight="1">
      <c r="A39" s="4" t="s">
        <v>199</v>
      </c>
      <c r="B39" s="4" t="s">
        <v>200</v>
      </c>
      <c r="C39" s="4">
        <v>22</v>
      </c>
      <c r="D39" s="4" t="s">
        <v>201</v>
      </c>
      <c r="E39" s="4">
        <v>0</v>
      </c>
      <c r="F39" s="4" t="s">
        <v>58</v>
      </c>
      <c r="G39" s="3" t="s">
        <v>155</v>
      </c>
      <c r="H39" s="4" t="s">
        <v>58</v>
      </c>
      <c r="I39" s="3" t="s">
        <v>181</v>
      </c>
      <c r="J39" s="4" t="s">
        <v>58</v>
      </c>
      <c r="K39" s="3" t="s">
        <v>202</v>
      </c>
      <c r="L39" s="4" t="s">
        <v>8</v>
      </c>
    </row>
    <row r="40" spans="1:12" ht="36" customHeight="1">
      <c r="A40" s="4" t="s">
        <v>203</v>
      </c>
      <c r="B40" s="4" t="s">
        <v>204</v>
      </c>
      <c r="C40" s="4">
        <v>40</v>
      </c>
      <c r="D40" s="4" t="s">
        <v>205</v>
      </c>
      <c r="E40" s="4">
        <v>0</v>
      </c>
      <c r="F40" s="4" t="s">
        <v>58</v>
      </c>
      <c r="G40" s="3" t="s">
        <v>155</v>
      </c>
      <c r="H40" s="4" t="s">
        <v>58</v>
      </c>
      <c r="I40" s="3" t="s">
        <v>206</v>
      </c>
      <c r="J40" s="4" t="s">
        <v>72</v>
      </c>
      <c r="K40" s="3" t="s">
        <v>207</v>
      </c>
      <c r="L40" s="4" t="s">
        <v>8</v>
      </c>
    </row>
    <row r="41" spans="1:12" ht="36" customHeight="1">
      <c r="A41" s="4" t="s">
        <v>208</v>
      </c>
      <c r="B41" s="4" t="s">
        <v>209</v>
      </c>
      <c r="C41" s="4">
        <v>55</v>
      </c>
      <c r="D41" s="4" t="s">
        <v>210</v>
      </c>
      <c r="E41" s="4">
        <v>0</v>
      </c>
      <c r="F41" s="4" t="s">
        <v>58</v>
      </c>
      <c r="G41" s="3" t="s">
        <v>155</v>
      </c>
      <c r="H41" s="4" t="s">
        <v>58</v>
      </c>
      <c r="I41" s="3" t="s">
        <v>181</v>
      </c>
      <c r="J41" s="4" t="s">
        <v>58</v>
      </c>
      <c r="K41" s="3" t="s">
        <v>211</v>
      </c>
      <c r="L41" s="4" t="s">
        <v>8</v>
      </c>
    </row>
  </sheetData>
  <mergeCells count="2">
    <mergeCell ref="A1:L1"/>
    <mergeCell ref="A2:L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"/>
  <sheetViews>
    <sheetView showGridLines="0" workbookViewId="0"/>
  </sheetViews>
  <sheetFormatPr defaultRowHeight="13.5"/>
  <cols>
    <col min="1" max="2" width="9" customWidth="1"/>
    <col min="3" max="3" width="7" customWidth="1"/>
    <col min="4" max="4" width="17" customWidth="1"/>
    <col min="5" max="5" width="15" customWidth="1"/>
    <col min="6" max="6" width="13" customWidth="1"/>
    <col min="7" max="7" width="29" customWidth="1"/>
    <col min="8" max="8" width="14" customWidth="1"/>
    <col min="9" max="9" width="31" customWidth="1"/>
    <col min="10" max="10" width="14" customWidth="1"/>
    <col min="11" max="11" width="30" customWidth="1"/>
    <col min="12" max="13" width="13" customWidth="1"/>
    <col min="14" max="14" width="34" customWidth="1"/>
    <col min="15" max="15" width="13" customWidth="1"/>
  </cols>
  <sheetData>
    <row r="1" spans="1:15" ht="32" customHeight="1">
      <c r="A1" s="24" t="s">
        <v>212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30" customHeight="1">
      <c r="A2" s="25" t="s">
        <v>213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5" ht="13.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3.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2" customHeight="1">
      <c r="A5" s="2" t="s">
        <v>43</v>
      </c>
      <c r="B5" s="2" t="s">
        <v>44</v>
      </c>
      <c r="C5" s="2" t="s">
        <v>45</v>
      </c>
      <c r="D5" s="2" t="s">
        <v>46</v>
      </c>
      <c r="E5" s="2" t="s">
        <v>214</v>
      </c>
      <c r="F5" s="2" t="s">
        <v>215</v>
      </c>
      <c r="G5" s="2" t="s">
        <v>216</v>
      </c>
      <c r="H5" s="2" t="s">
        <v>50</v>
      </c>
      <c r="I5" s="2" t="s">
        <v>217</v>
      </c>
      <c r="J5" s="2" t="s">
        <v>218</v>
      </c>
      <c r="K5" s="2" t="s">
        <v>53</v>
      </c>
      <c r="L5" s="2" t="s">
        <v>219</v>
      </c>
      <c r="M5" s="2" t="s">
        <v>220</v>
      </c>
      <c r="N5" s="2" t="s">
        <v>221</v>
      </c>
      <c r="O5" s="2" t="s">
        <v>222</v>
      </c>
    </row>
    <row r="6" spans="1:15" ht="38" customHeight="1">
      <c r="A6" s="13" t="str">
        <f>'01_人物数据'!A6</f>
        <v>P01</v>
      </c>
      <c r="B6" s="13" t="str">
        <f>'01_人物数据'!B6</f>
        <v>陈静</v>
      </c>
      <c r="C6" s="13">
        <f>'01_人物数据'!C6</f>
        <v>32</v>
      </c>
      <c r="D6" s="13" t="str">
        <f>'01_人物数据'!D6</f>
        <v>销售职员</v>
      </c>
      <c r="E6" s="13">
        <f>'01_人物数据'!E6</f>
        <v>40</v>
      </c>
      <c r="F6" s="13" t="str">
        <f>'01_人物数据'!F6</f>
        <v>否</v>
      </c>
      <c r="G6" s="12" t="str">
        <f>'01_人物数据'!G6</f>
        <v>不适用</v>
      </c>
      <c r="H6" s="13" t="str">
        <f>'01_人物数据'!H6</f>
        <v>不适用</v>
      </c>
      <c r="I6" s="12" t="str">
        <f>'01_人物数据'!I6</f>
        <v>不适用</v>
      </c>
      <c r="J6" s="13" t="str">
        <f>'01_人物数据'!J6</f>
        <v>不适用</v>
      </c>
      <c r="K6" s="12" t="str">
        <f>'01_人物数据'!K6</f>
        <v>本周正常从事有酬工作</v>
      </c>
      <c r="L6" s="14"/>
      <c r="M6" s="14"/>
      <c r="N6" s="6"/>
      <c r="O6" s="7" t="str">
        <f t="shared" ref="O6:O41" si="0">IF(AND(L6&lt;&gt;"",M6&lt;&gt;"",N6&lt;&gt;""),"完成","待填写")</f>
        <v>待填写</v>
      </c>
    </row>
    <row r="7" spans="1:15" ht="38" customHeight="1">
      <c r="A7" s="13" t="str">
        <f>'01_人物数据'!A7</f>
        <v>P02</v>
      </c>
      <c r="B7" s="13" t="str">
        <f>'01_人物数据'!B7</f>
        <v>阿杰</v>
      </c>
      <c r="C7" s="13">
        <f>'01_人物数据'!C7</f>
        <v>27</v>
      </c>
      <c r="D7" s="13" t="str">
        <f>'01_人物数据'!D7</f>
        <v>自由设计师</v>
      </c>
      <c r="E7" s="13">
        <f>'01_人物数据'!E7</f>
        <v>6</v>
      </c>
      <c r="F7" s="13" t="str">
        <f>'01_人物数据'!F7</f>
        <v>否</v>
      </c>
      <c r="G7" s="12" t="str">
        <f>'01_人物数据'!G7</f>
        <v>不适用</v>
      </c>
      <c r="H7" s="13" t="str">
        <f>'01_人物数据'!H7</f>
        <v>不适用</v>
      </c>
      <c r="I7" s="12" t="str">
        <f>'01_人物数据'!I7</f>
        <v>不适用</v>
      </c>
      <c r="J7" s="13" t="str">
        <f>'01_人物数据'!J7</f>
        <v>不适用</v>
      </c>
      <c r="K7" s="12" t="str">
        <f>'01_人物数据'!K7</f>
        <v>本周完成付费设计订单并收款</v>
      </c>
      <c r="L7" s="14"/>
      <c r="M7" s="14"/>
      <c r="N7" s="6"/>
      <c r="O7" s="7" t="str">
        <f t="shared" si="0"/>
        <v>待填写</v>
      </c>
    </row>
    <row r="8" spans="1:15" ht="38" customHeight="1">
      <c r="A8" s="13" t="str">
        <f>'01_人物数据'!A8</f>
        <v>P03</v>
      </c>
      <c r="B8" s="13" t="str">
        <f>'01_人物数据'!B8</f>
        <v>林悦</v>
      </c>
      <c r="C8" s="13">
        <f>'01_人物数据'!C8</f>
        <v>20</v>
      </c>
      <c r="D8" s="13" t="str">
        <f>'01_人物数据'!D8</f>
        <v>全日制本科生</v>
      </c>
      <c r="E8" s="13">
        <f>'01_人物数据'!E8</f>
        <v>8</v>
      </c>
      <c r="F8" s="13" t="str">
        <f>'01_人物数据'!F8</f>
        <v>否</v>
      </c>
      <c r="G8" s="12" t="str">
        <f>'01_人物数据'!G8</f>
        <v>不适用</v>
      </c>
      <c r="H8" s="13" t="str">
        <f>'01_人物数据'!H8</f>
        <v>不适用</v>
      </c>
      <c r="I8" s="12" t="str">
        <f>'01_人物数据'!I8</f>
        <v>不适用</v>
      </c>
      <c r="J8" s="13" t="str">
        <f>'01_人物数据'!J8</f>
        <v>不适用</v>
      </c>
      <c r="K8" s="12" t="str">
        <f>'01_人物数据'!K8</f>
        <v>本周完成有偿家教</v>
      </c>
      <c r="L8" s="14"/>
      <c r="M8" s="14"/>
      <c r="N8" s="6"/>
      <c r="O8" s="7" t="str">
        <f t="shared" si="0"/>
        <v>待填写</v>
      </c>
    </row>
    <row r="9" spans="1:15" ht="38" customHeight="1">
      <c r="A9" s="13" t="str">
        <f>'01_人物数据'!A9</f>
        <v>P04</v>
      </c>
      <c r="B9" s="13" t="str">
        <f>'01_人物数据'!B9</f>
        <v>周明</v>
      </c>
      <c r="C9" s="13">
        <f>'01_人物数据'!C9</f>
        <v>45</v>
      </c>
      <c r="D9" s="13" t="str">
        <f>'01_人物数据'!D9</f>
        <v>工厂职工</v>
      </c>
      <c r="E9" s="13">
        <f>'01_人物数据'!E9</f>
        <v>0</v>
      </c>
      <c r="F9" s="13" t="str">
        <f>'01_人物数据'!F9</f>
        <v>是</v>
      </c>
      <c r="G9" s="12" t="str">
        <f>'01_人物数据'!G9</f>
        <v>带薪年休假；岗位保留；下周返岗</v>
      </c>
      <c r="H9" s="13" t="str">
        <f>'01_人物数据'!H9</f>
        <v>不适用</v>
      </c>
      <c r="I9" s="12" t="str">
        <f>'01_人物数据'!I9</f>
        <v>不适用</v>
      </c>
      <c r="J9" s="13" t="str">
        <f>'01_人物数据'!J9</f>
        <v>不适用</v>
      </c>
      <c r="K9" s="12" t="str">
        <f>'01_人物数据'!K9</f>
        <v>本周未实际工作</v>
      </c>
      <c r="L9" s="14"/>
      <c r="M9" s="14"/>
      <c r="N9" s="6"/>
      <c r="O9" s="7" t="str">
        <f t="shared" si="0"/>
        <v>待填写</v>
      </c>
    </row>
    <row r="10" spans="1:15" ht="38" customHeight="1">
      <c r="A10" s="13" t="str">
        <f>'01_人物数据'!A10</f>
        <v>P05</v>
      </c>
      <c r="B10" s="13" t="str">
        <f>'01_人物数据'!B10</f>
        <v>吴强</v>
      </c>
      <c r="C10" s="13">
        <f>'01_人物数据'!C10</f>
        <v>39</v>
      </c>
      <c r="D10" s="13" t="str">
        <f>'01_人物数据'!D10</f>
        <v>平台配送员</v>
      </c>
      <c r="E10" s="13">
        <f>'01_人物数据'!E10</f>
        <v>25</v>
      </c>
      <c r="F10" s="13" t="str">
        <f>'01_人物数据'!F10</f>
        <v>否</v>
      </c>
      <c r="G10" s="12" t="str">
        <f>'01_人物数据'!G10</f>
        <v>不适用</v>
      </c>
      <c r="H10" s="13" t="str">
        <f>'01_人物数据'!H10</f>
        <v>不适用</v>
      </c>
      <c r="I10" s="12" t="str">
        <f>'01_人物数据'!I10</f>
        <v>不适用</v>
      </c>
      <c r="J10" s="13" t="str">
        <f>'01_人物数据'!J10</f>
        <v>不适用</v>
      </c>
      <c r="K10" s="12" t="str">
        <f>'01_人物数据'!K10</f>
        <v>本周接单并获得报酬</v>
      </c>
      <c r="L10" s="14"/>
      <c r="M10" s="14"/>
      <c r="N10" s="6"/>
      <c r="O10" s="7" t="str">
        <f t="shared" si="0"/>
        <v>待填写</v>
      </c>
    </row>
    <row r="11" spans="1:15" ht="38" customHeight="1">
      <c r="A11" s="13" t="str">
        <f>'01_人物数据'!A11</f>
        <v>P06</v>
      </c>
      <c r="B11" s="13" t="str">
        <f>'01_人物数据'!B11</f>
        <v>赵国平</v>
      </c>
      <c r="C11" s="13">
        <f>'01_人物数据'!C11</f>
        <v>66</v>
      </c>
      <c r="D11" s="13" t="str">
        <f>'01_人物数据'!D11</f>
        <v>退休人员</v>
      </c>
      <c r="E11" s="13">
        <f>'01_人物数据'!E11</f>
        <v>10</v>
      </c>
      <c r="F11" s="13" t="str">
        <f>'01_人物数据'!F11</f>
        <v>否</v>
      </c>
      <c r="G11" s="12" t="str">
        <f>'01_人物数据'!G11</f>
        <v>不适用</v>
      </c>
      <c r="H11" s="13" t="str">
        <f>'01_人物数据'!H11</f>
        <v>不适用</v>
      </c>
      <c r="I11" s="12" t="str">
        <f>'01_人物数据'!I11</f>
        <v>不适用</v>
      </c>
      <c r="J11" s="13" t="str">
        <f>'01_人物数据'!J11</f>
        <v>不适用</v>
      </c>
      <c r="K11" s="12" t="str">
        <f>'01_人物数据'!K11</f>
        <v>退休后本周有偿维修家电</v>
      </c>
      <c r="L11" s="14"/>
      <c r="M11" s="14"/>
      <c r="N11" s="6"/>
      <c r="O11" s="7" t="str">
        <f t="shared" si="0"/>
        <v>待填写</v>
      </c>
    </row>
    <row r="12" spans="1:15" ht="38" customHeight="1">
      <c r="A12" s="13" t="str">
        <f>'01_人物数据'!A12</f>
        <v>P07</v>
      </c>
      <c r="B12" s="13" t="str">
        <f>'01_人物数据'!B12</f>
        <v>王芳</v>
      </c>
      <c r="C12" s="13">
        <f>'01_人物数据'!C12</f>
        <v>34</v>
      </c>
      <c r="D12" s="13" t="str">
        <f>'01_人物数据'!D12</f>
        <v>网店经营者</v>
      </c>
      <c r="E12" s="13">
        <f>'01_人物数据'!E12</f>
        <v>30</v>
      </c>
      <c r="F12" s="13" t="str">
        <f>'01_人物数据'!F12</f>
        <v>否</v>
      </c>
      <c r="G12" s="12" t="str">
        <f>'01_人物数据'!G12</f>
        <v>不适用</v>
      </c>
      <c r="H12" s="13" t="str">
        <f>'01_人物数据'!H12</f>
        <v>不适用</v>
      </c>
      <c r="I12" s="12" t="str">
        <f>'01_人物数据'!I12</f>
        <v>不适用</v>
      </c>
      <c r="J12" s="13" t="str">
        <f>'01_人物数据'!J12</f>
        <v>不适用</v>
      </c>
      <c r="K12" s="12" t="str">
        <f>'01_人物数据'!K12</f>
        <v>本周经营网店并获得经营收入</v>
      </c>
      <c r="L12" s="14"/>
      <c r="M12" s="14"/>
      <c r="N12" s="6"/>
      <c r="O12" s="7" t="str">
        <f t="shared" si="0"/>
        <v>待填写</v>
      </c>
    </row>
    <row r="13" spans="1:15" ht="38" customHeight="1">
      <c r="A13" s="13" t="str">
        <f>'01_人物数据'!A13</f>
        <v>P08</v>
      </c>
      <c r="B13" s="13" t="str">
        <f>'01_人物数据'!B13</f>
        <v>孙凯</v>
      </c>
      <c r="C13" s="13">
        <f>'01_人物数据'!C13</f>
        <v>24</v>
      </c>
      <c r="D13" s="13" t="str">
        <f>'01_人物数据'!D13</f>
        <v>实习生</v>
      </c>
      <c r="E13" s="13">
        <f>'01_人物数据'!E13</f>
        <v>35</v>
      </c>
      <c r="F13" s="13" t="str">
        <f>'01_人物数据'!F13</f>
        <v>否</v>
      </c>
      <c r="G13" s="12" t="str">
        <f>'01_人物数据'!G13</f>
        <v>不适用</v>
      </c>
      <c r="H13" s="13" t="str">
        <f>'01_人物数据'!H13</f>
        <v>不适用</v>
      </c>
      <c r="I13" s="12" t="str">
        <f>'01_人物数据'!I13</f>
        <v>不适用</v>
      </c>
      <c r="J13" s="13" t="str">
        <f>'01_人物数据'!J13</f>
        <v>不适用</v>
      </c>
      <c r="K13" s="12" t="str">
        <f>'01_人物数据'!K13</f>
        <v>本周为有薪实习</v>
      </c>
      <c r="L13" s="14"/>
      <c r="M13" s="14"/>
      <c r="N13" s="6"/>
      <c r="O13" s="7" t="str">
        <f t="shared" si="0"/>
        <v>待填写</v>
      </c>
    </row>
    <row r="14" spans="1:15" ht="38" customHeight="1">
      <c r="A14" s="13" t="str">
        <f>'01_人物数据'!A14</f>
        <v>P09</v>
      </c>
      <c r="B14" s="13" t="str">
        <f>'01_人物数据'!B14</f>
        <v>李梅</v>
      </c>
      <c r="C14" s="13">
        <f>'01_人物数据'!C14</f>
        <v>51</v>
      </c>
      <c r="D14" s="13" t="str">
        <f>'01_人物数据'!D14</f>
        <v>亲属餐馆服务员</v>
      </c>
      <c r="E14" s="13">
        <f>'01_人物数据'!E14</f>
        <v>20</v>
      </c>
      <c r="F14" s="13" t="str">
        <f>'01_人物数据'!F14</f>
        <v>否</v>
      </c>
      <c r="G14" s="12" t="str">
        <f>'01_人物数据'!G14</f>
        <v>不适用</v>
      </c>
      <c r="H14" s="13" t="str">
        <f>'01_人物数据'!H14</f>
        <v>不适用</v>
      </c>
      <c r="I14" s="12" t="str">
        <f>'01_人物数据'!I14</f>
        <v>不适用</v>
      </c>
      <c r="J14" s="13" t="str">
        <f>'01_人物数据'!J14</f>
        <v>不适用</v>
      </c>
      <c r="K14" s="12" t="str">
        <f>'01_人物数据'!K14</f>
        <v>在亲属餐馆按小时领取工资</v>
      </c>
      <c r="L14" s="14"/>
      <c r="M14" s="14"/>
      <c r="N14" s="6"/>
      <c r="O14" s="7" t="str">
        <f t="shared" si="0"/>
        <v>待填写</v>
      </c>
    </row>
    <row r="15" spans="1:15" ht="38" customHeight="1">
      <c r="A15" s="13" t="str">
        <f>'01_人物数据'!A15</f>
        <v>P10</v>
      </c>
      <c r="B15" s="13" t="str">
        <f>'01_人物数据'!B15</f>
        <v>高宇</v>
      </c>
      <c r="C15" s="13">
        <f>'01_人物数据'!C15</f>
        <v>29</v>
      </c>
      <c r="D15" s="13" t="str">
        <f>'01_人物数据'!D15</f>
        <v>网约车个体经营者</v>
      </c>
      <c r="E15" s="13">
        <f>'01_人物数据'!E15</f>
        <v>18</v>
      </c>
      <c r="F15" s="13" t="str">
        <f>'01_人物数据'!F15</f>
        <v>否</v>
      </c>
      <c r="G15" s="12" t="str">
        <f>'01_人物数据'!G15</f>
        <v>不适用</v>
      </c>
      <c r="H15" s="13" t="str">
        <f>'01_人物数据'!H15</f>
        <v>不适用</v>
      </c>
      <c r="I15" s="12" t="str">
        <f>'01_人物数据'!I15</f>
        <v>不适用</v>
      </c>
      <c r="J15" s="13" t="str">
        <f>'01_人物数据'!J15</f>
        <v>不适用</v>
      </c>
      <c r="K15" s="12" t="str">
        <f>'01_人物数据'!K15</f>
        <v>本周接单并取得经营收入</v>
      </c>
      <c r="L15" s="14"/>
      <c r="M15" s="14"/>
      <c r="N15" s="6"/>
      <c r="O15" s="7" t="str">
        <f t="shared" si="0"/>
        <v>待填写</v>
      </c>
    </row>
    <row r="16" spans="1:15" ht="38" customHeight="1">
      <c r="A16" s="13" t="str">
        <f>'01_人物数据'!A16</f>
        <v>P11</v>
      </c>
      <c r="B16" s="13" t="str">
        <f>'01_人物数据'!B16</f>
        <v>刘娜</v>
      </c>
      <c r="C16" s="13">
        <f>'01_人物数据'!C16</f>
        <v>28</v>
      </c>
      <c r="D16" s="13" t="str">
        <f>'01_人物数据'!D16</f>
        <v>企业职员</v>
      </c>
      <c r="E16" s="13">
        <f>'01_人物数据'!E16</f>
        <v>0</v>
      </c>
      <c r="F16" s="13" t="str">
        <f>'01_人物数据'!F16</f>
        <v>是</v>
      </c>
      <c r="G16" s="12" t="str">
        <f>'01_人物数据'!G16</f>
        <v>带薪产假；岗位保留；计划按期返岗</v>
      </c>
      <c r="H16" s="13" t="str">
        <f>'01_人物数据'!H16</f>
        <v>不适用</v>
      </c>
      <c r="I16" s="12" t="str">
        <f>'01_人物数据'!I16</f>
        <v>不适用</v>
      </c>
      <c r="J16" s="13" t="str">
        <f>'01_人物数据'!J16</f>
        <v>不适用</v>
      </c>
      <c r="K16" s="12" t="str">
        <f>'01_人物数据'!K16</f>
        <v>本周未实际工作</v>
      </c>
      <c r="L16" s="14"/>
      <c r="M16" s="14"/>
      <c r="N16" s="6"/>
      <c r="O16" s="7" t="str">
        <f t="shared" si="0"/>
        <v>待填写</v>
      </c>
    </row>
    <row r="17" spans="1:15" ht="38" customHeight="1">
      <c r="A17" s="13" t="str">
        <f>'01_人物数据'!A17</f>
        <v>P12</v>
      </c>
      <c r="B17" s="13" t="str">
        <f>'01_人物数据'!B17</f>
        <v>黄磊</v>
      </c>
      <c r="C17" s="13">
        <f>'01_人物数据'!C17</f>
        <v>41</v>
      </c>
      <c r="D17" s="13" t="str">
        <f>'01_人物数据'!D17</f>
        <v>仓库管理员</v>
      </c>
      <c r="E17" s="13">
        <f>'01_人物数据'!E17</f>
        <v>0</v>
      </c>
      <c r="F17" s="13" t="str">
        <f>'01_人物数据'!F17</f>
        <v>是</v>
      </c>
      <c r="G17" s="12" t="str">
        <f>'01_人物数据'!G17</f>
        <v>带薪病假；岗位保留；预计10天后返岗</v>
      </c>
      <c r="H17" s="13" t="str">
        <f>'01_人物数据'!H17</f>
        <v>不适用</v>
      </c>
      <c r="I17" s="12" t="str">
        <f>'01_人物数据'!I17</f>
        <v>不适用</v>
      </c>
      <c r="J17" s="13" t="str">
        <f>'01_人物数据'!J17</f>
        <v>不适用</v>
      </c>
      <c r="K17" s="12" t="str">
        <f>'01_人物数据'!K17</f>
        <v>本周未实际工作</v>
      </c>
      <c r="L17" s="14"/>
      <c r="M17" s="14"/>
      <c r="N17" s="6"/>
      <c r="O17" s="7" t="str">
        <f t="shared" si="0"/>
        <v>待填写</v>
      </c>
    </row>
    <row r="18" spans="1:15" ht="38" customHeight="1">
      <c r="A18" s="13" t="str">
        <f>'01_人物数据'!A18</f>
        <v>P13</v>
      </c>
      <c r="B18" s="13" t="str">
        <f>'01_人物数据'!B18</f>
        <v>张蕾</v>
      </c>
      <c r="C18" s="13">
        <f>'01_人物数据'!C18</f>
        <v>22</v>
      </c>
      <c r="D18" s="13" t="str">
        <f>'01_人物数据'!D18</f>
        <v>翻译兼职</v>
      </c>
      <c r="E18" s="13">
        <f>'01_人物数据'!E18</f>
        <v>1</v>
      </c>
      <c r="F18" s="13" t="str">
        <f>'01_人物数据'!F18</f>
        <v>否</v>
      </c>
      <c r="G18" s="12" t="str">
        <f>'01_人物数据'!G18</f>
        <v>不适用</v>
      </c>
      <c r="H18" s="13" t="str">
        <f>'01_人物数据'!H18</f>
        <v>不适用</v>
      </c>
      <c r="I18" s="12" t="str">
        <f>'01_人物数据'!I18</f>
        <v>不适用</v>
      </c>
      <c r="J18" s="13" t="str">
        <f>'01_人物数据'!J18</f>
        <v>不适用</v>
      </c>
      <c r="K18" s="12" t="str">
        <f>'01_人物数据'!K18</f>
        <v>本周完成1小时有酬翻译</v>
      </c>
      <c r="L18" s="14"/>
      <c r="M18" s="14"/>
      <c r="N18" s="6"/>
      <c r="O18" s="7" t="str">
        <f t="shared" si="0"/>
        <v>待填写</v>
      </c>
    </row>
    <row r="19" spans="1:15" ht="38" customHeight="1">
      <c r="A19" s="13" t="str">
        <f>'01_人物数据'!A19</f>
        <v>P14</v>
      </c>
      <c r="B19" s="13" t="str">
        <f>'01_人物数据'!B19</f>
        <v>胡军</v>
      </c>
      <c r="C19" s="13">
        <f>'01_人物数据'!C19</f>
        <v>58</v>
      </c>
      <c r="D19" s="13" t="str">
        <f>'01_人物数据'!D19</f>
        <v>农产品个体经营者</v>
      </c>
      <c r="E19" s="13">
        <f>'01_人物数据'!E19</f>
        <v>16</v>
      </c>
      <c r="F19" s="13" t="str">
        <f>'01_人物数据'!F19</f>
        <v>否</v>
      </c>
      <c r="G19" s="12" t="str">
        <f>'01_人物数据'!G19</f>
        <v>不适用</v>
      </c>
      <c r="H19" s="13" t="str">
        <f>'01_人物数据'!H19</f>
        <v>不适用</v>
      </c>
      <c r="I19" s="12" t="str">
        <f>'01_人物数据'!I19</f>
        <v>不适用</v>
      </c>
      <c r="J19" s="13" t="str">
        <f>'01_人物数据'!J19</f>
        <v>不适用</v>
      </c>
      <c r="K19" s="12" t="str">
        <f>'01_人物数据'!K19</f>
        <v>本周销售自产农产品并取得收入</v>
      </c>
      <c r="L19" s="14"/>
      <c r="M19" s="14"/>
      <c r="N19" s="6"/>
      <c r="O19" s="7" t="str">
        <f t="shared" si="0"/>
        <v>待填写</v>
      </c>
    </row>
    <row r="20" spans="1:15" ht="38" customHeight="1">
      <c r="A20" s="13" t="str">
        <f>'01_人物数据'!A20</f>
        <v>P15</v>
      </c>
      <c r="B20" s="13" t="str">
        <f>'01_人物数据'!B20</f>
        <v>何敏</v>
      </c>
      <c r="C20" s="13">
        <f>'01_人物数据'!C20</f>
        <v>37</v>
      </c>
      <c r="D20" s="13" t="str">
        <f>'01_人物数据'!D20</f>
        <v>临时钟点工</v>
      </c>
      <c r="E20" s="13">
        <f>'01_人物数据'!E20</f>
        <v>3</v>
      </c>
      <c r="F20" s="13" t="str">
        <f>'01_人物数据'!F20</f>
        <v>否</v>
      </c>
      <c r="G20" s="12" t="str">
        <f>'01_人物数据'!G20</f>
        <v>不适用</v>
      </c>
      <c r="H20" s="13" t="str">
        <f>'01_人物数据'!H20</f>
        <v>不适用</v>
      </c>
      <c r="I20" s="12" t="str">
        <f>'01_人物数据'!I20</f>
        <v>不适用</v>
      </c>
      <c r="J20" s="13" t="str">
        <f>'01_人物数据'!J20</f>
        <v>不适用</v>
      </c>
      <c r="K20" s="12" t="str">
        <f>'01_人物数据'!K20</f>
        <v>本周完成3小时有酬清洁</v>
      </c>
      <c r="L20" s="14"/>
      <c r="M20" s="14"/>
      <c r="N20" s="6"/>
      <c r="O20" s="7" t="str">
        <f t="shared" si="0"/>
        <v>待填写</v>
      </c>
    </row>
    <row r="21" spans="1:15" ht="38" customHeight="1">
      <c r="A21" s="13" t="str">
        <f>'01_人物数据'!A21</f>
        <v>P16</v>
      </c>
      <c r="B21" s="13" t="str">
        <f>'01_人物数据'!B21</f>
        <v>丁然</v>
      </c>
      <c r="C21" s="13">
        <f>'01_人物数据'!C21</f>
        <v>26</v>
      </c>
      <c r="D21" s="13" t="str">
        <f>'01_人物数据'!D21</f>
        <v>内容创作者</v>
      </c>
      <c r="E21" s="13">
        <f>'01_人物数据'!E21</f>
        <v>12</v>
      </c>
      <c r="F21" s="13" t="str">
        <f>'01_人物数据'!F21</f>
        <v>否</v>
      </c>
      <c r="G21" s="12" t="str">
        <f>'01_人物数据'!G21</f>
        <v>不适用</v>
      </c>
      <c r="H21" s="13" t="str">
        <f>'01_人物数据'!H21</f>
        <v>不适用</v>
      </c>
      <c r="I21" s="12" t="str">
        <f>'01_人物数据'!I21</f>
        <v>不适用</v>
      </c>
      <c r="J21" s="13" t="str">
        <f>'01_人物数据'!J21</f>
        <v>不适用</v>
      </c>
      <c r="K21" s="12" t="str">
        <f>'01_人物数据'!K21</f>
        <v>本周创作并取得平台收入</v>
      </c>
      <c r="L21" s="14"/>
      <c r="M21" s="14"/>
      <c r="N21" s="6"/>
      <c r="O21" s="7" t="str">
        <f t="shared" si="0"/>
        <v>待填写</v>
      </c>
    </row>
    <row r="22" spans="1:15" ht="38" customHeight="1">
      <c r="A22" s="13" t="str">
        <f>'01_人物数据'!A22</f>
        <v>P17</v>
      </c>
      <c r="B22" s="13" t="str">
        <f>'01_人物数据'!B22</f>
        <v>郭雪</v>
      </c>
      <c r="C22" s="13">
        <f>'01_人物数据'!C22</f>
        <v>43</v>
      </c>
      <c r="D22" s="13" t="str">
        <f>'01_人物数据'!D22</f>
        <v>中学教师</v>
      </c>
      <c r="E22" s="13">
        <f>'01_人物数据'!E22</f>
        <v>0</v>
      </c>
      <c r="F22" s="13" t="str">
        <f>'01_人物数据'!F22</f>
        <v>是</v>
      </c>
      <c r="G22" s="12" t="str">
        <f>'01_人物数据'!G22</f>
        <v>学校暑假；工资照发；新学期返岗</v>
      </c>
      <c r="H22" s="13" t="str">
        <f>'01_人物数据'!H22</f>
        <v>不适用</v>
      </c>
      <c r="I22" s="12" t="str">
        <f>'01_人物数据'!I22</f>
        <v>不适用</v>
      </c>
      <c r="J22" s="13" t="str">
        <f>'01_人物数据'!J22</f>
        <v>不适用</v>
      </c>
      <c r="K22" s="12" t="str">
        <f>'01_人物数据'!K22</f>
        <v>本周未实际授课</v>
      </c>
      <c r="L22" s="14"/>
      <c r="M22" s="14"/>
      <c r="N22" s="6"/>
      <c r="O22" s="7" t="str">
        <f t="shared" si="0"/>
        <v>待填写</v>
      </c>
    </row>
    <row r="23" spans="1:15" ht="38" customHeight="1">
      <c r="A23" s="13" t="str">
        <f>'01_人物数据'!A23</f>
        <v>P18</v>
      </c>
      <c r="B23" s="13" t="str">
        <f>'01_人物数据'!B23</f>
        <v>韩东</v>
      </c>
      <c r="C23" s="13">
        <f>'01_人物数据'!C23</f>
        <v>54</v>
      </c>
      <c r="D23" s="13" t="str">
        <f>'01_人物数据'!D23</f>
        <v>建筑工人</v>
      </c>
      <c r="E23" s="13">
        <f>'01_人物数据'!E23</f>
        <v>32</v>
      </c>
      <c r="F23" s="13" t="str">
        <f>'01_人物数据'!F23</f>
        <v>否</v>
      </c>
      <c r="G23" s="12" t="str">
        <f>'01_人物数据'!G23</f>
        <v>不适用</v>
      </c>
      <c r="H23" s="13" t="str">
        <f>'01_人物数据'!H23</f>
        <v>不适用</v>
      </c>
      <c r="I23" s="12" t="str">
        <f>'01_人物数据'!I23</f>
        <v>不适用</v>
      </c>
      <c r="J23" s="13" t="str">
        <f>'01_人物数据'!J23</f>
        <v>不适用</v>
      </c>
      <c r="K23" s="12" t="str">
        <f>'01_人物数据'!K23</f>
        <v>本周正常取得劳动报酬</v>
      </c>
      <c r="L23" s="14"/>
      <c r="M23" s="14"/>
      <c r="N23" s="6"/>
      <c r="O23" s="7" t="str">
        <f t="shared" si="0"/>
        <v>待填写</v>
      </c>
    </row>
    <row r="24" spans="1:15" ht="38" customHeight="1">
      <c r="A24" s="13" t="str">
        <f>'01_人物数据'!A24</f>
        <v>P19</v>
      </c>
      <c r="B24" s="13" t="str">
        <f>'01_人物数据'!B24</f>
        <v>罗媛</v>
      </c>
      <c r="C24" s="13">
        <f>'01_人物数据'!C24</f>
        <v>19</v>
      </c>
      <c r="D24" s="13" t="str">
        <f>'01_人物数据'!D24</f>
        <v>餐厅兼职</v>
      </c>
      <c r="E24" s="13">
        <f>'01_人物数据'!E24</f>
        <v>12</v>
      </c>
      <c r="F24" s="13" t="str">
        <f>'01_人物数据'!F24</f>
        <v>否</v>
      </c>
      <c r="G24" s="12" t="str">
        <f>'01_人物数据'!G24</f>
        <v>不适用</v>
      </c>
      <c r="H24" s="13" t="str">
        <f>'01_人物数据'!H24</f>
        <v>不适用</v>
      </c>
      <c r="I24" s="12" t="str">
        <f>'01_人物数据'!I24</f>
        <v>不适用</v>
      </c>
      <c r="J24" s="13" t="str">
        <f>'01_人物数据'!J24</f>
        <v>不适用</v>
      </c>
      <c r="K24" s="12" t="str">
        <f>'01_人物数据'!K24</f>
        <v>本周有酬兼职</v>
      </c>
      <c r="L24" s="14"/>
      <c r="M24" s="14"/>
      <c r="N24" s="6"/>
      <c r="O24" s="7" t="str">
        <f t="shared" si="0"/>
        <v>待填写</v>
      </c>
    </row>
    <row r="25" spans="1:15" ht="38" customHeight="1">
      <c r="A25" s="13" t="str">
        <f>'01_人物数据'!A25</f>
        <v>P20</v>
      </c>
      <c r="B25" s="13" t="str">
        <f>'01_人物数据'!B25</f>
        <v>马超</v>
      </c>
      <c r="C25" s="13">
        <f>'01_人物数据'!C25</f>
        <v>35</v>
      </c>
      <c r="D25" s="13" t="str">
        <f>'01_人物数据'!D25</f>
        <v>小店经营者</v>
      </c>
      <c r="E25" s="13">
        <f>'01_人物数据'!E25</f>
        <v>45</v>
      </c>
      <c r="F25" s="13" t="str">
        <f>'01_人物数据'!F25</f>
        <v>否</v>
      </c>
      <c r="G25" s="12" t="str">
        <f>'01_人物数据'!G25</f>
        <v>不适用</v>
      </c>
      <c r="H25" s="13" t="str">
        <f>'01_人物数据'!H25</f>
        <v>不适用</v>
      </c>
      <c r="I25" s="12" t="str">
        <f>'01_人物数据'!I25</f>
        <v>不适用</v>
      </c>
      <c r="J25" s="13" t="str">
        <f>'01_人物数据'!J25</f>
        <v>不适用</v>
      </c>
      <c r="K25" s="12" t="str">
        <f>'01_人物数据'!K25</f>
        <v>本周经营小店并取得收入</v>
      </c>
      <c r="L25" s="14"/>
      <c r="M25" s="14"/>
      <c r="N25" s="6"/>
      <c r="O25" s="7" t="str">
        <f t="shared" si="0"/>
        <v>待填写</v>
      </c>
    </row>
    <row r="26" spans="1:15" ht="38" customHeight="1">
      <c r="A26" s="13" t="str">
        <f>'01_人物数据'!A26</f>
        <v>P21</v>
      </c>
      <c r="B26" s="13" t="str">
        <f>'01_人物数据'!B26</f>
        <v>许琳</v>
      </c>
      <c r="C26" s="13">
        <f>'01_人物数据'!C26</f>
        <v>47</v>
      </c>
      <c r="D26" s="13" t="str">
        <f>'01_人物数据'!D26</f>
        <v>保洁员</v>
      </c>
      <c r="E26" s="13">
        <f>'01_人物数据'!E26</f>
        <v>20</v>
      </c>
      <c r="F26" s="13" t="str">
        <f>'01_人物数据'!F26</f>
        <v>否</v>
      </c>
      <c r="G26" s="12" t="str">
        <f>'01_人物数据'!G26</f>
        <v>不适用</v>
      </c>
      <c r="H26" s="13" t="str">
        <f>'01_人物数据'!H26</f>
        <v>不适用</v>
      </c>
      <c r="I26" s="12" t="str">
        <f>'01_人物数据'!I26</f>
        <v>不适用</v>
      </c>
      <c r="J26" s="13" t="str">
        <f>'01_人物数据'!J26</f>
        <v>不适用</v>
      </c>
      <c r="K26" s="12" t="str">
        <f>'01_人物数据'!K26</f>
        <v>本周正常有酬工作</v>
      </c>
      <c r="L26" s="14"/>
      <c r="M26" s="14"/>
      <c r="N26" s="6"/>
      <c r="O26" s="7" t="str">
        <f t="shared" si="0"/>
        <v>待填写</v>
      </c>
    </row>
    <row r="27" spans="1:15" ht="38" customHeight="1">
      <c r="A27" s="13" t="str">
        <f>'01_人物数据'!A27</f>
        <v>P22</v>
      </c>
      <c r="B27" s="13" t="str">
        <f>'01_人物数据'!B27</f>
        <v>梁博</v>
      </c>
      <c r="C27" s="13">
        <f>'01_人物数据'!C27</f>
        <v>61</v>
      </c>
      <c r="D27" s="13" t="str">
        <f>'01_人物数据'!D27</f>
        <v>退休返聘保安</v>
      </c>
      <c r="E27" s="13">
        <f>'01_人物数据'!E27</f>
        <v>30</v>
      </c>
      <c r="F27" s="13" t="str">
        <f>'01_人物数据'!F27</f>
        <v>否</v>
      </c>
      <c r="G27" s="12" t="str">
        <f>'01_人物数据'!G27</f>
        <v>不适用</v>
      </c>
      <c r="H27" s="13" t="str">
        <f>'01_人物数据'!H27</f>
        <v>不适用</v>
      </c>
      <c r="I27" s="12" t="str">
        <f>'01_人物数据'!I27</f>
        <v>不适用</v>
      </c>
      <c r="J27" s="13" t="str">
        <f>'01_人物数据'!J27</f>
        <v>不适用</v>
      </c>
      <c r="K27" s="12" t="str">
        <f>'01_人物数据'!K27</f>
        <v>本周返聘并领取工资</v>
      </c>
      <c r="L27" s="14"/>
      <c r="M27" s="14"/>
      <c r="N27" s="6"/>
      <c r="O27" s="7" t="str">
        <f t="shared" si="0"/>
        <v>待填写</v>
      </c>
    </row>
    <row r="28" spans="1:15" ht="38" customHeight="1">
      <c r="A28" s="13" t="str">
        <f>'01_人物数据'!A28</f>
        <v>P23</v>
      </c>
      <c r="B28" s="13" t="str">
        <f>'01_人物数据'!B28</f>
        <v>苏菲</v>
      </c>
      <c r="C28" s="13">
        <f>'01_人物数据'!C28</f>
        <v>30</v>
      </c>
      <c r="D28" s="13" t="str">
        <f>'01_人物数据'!D28</f>
        <v>直播带货从业者</v>
      </c>
      <c r="E28" s="13">
        <f>'01_人物数据'!E28</f>
        <v>9</v>
      </c>
      <c r="F28" s="13" t="str">
        <f>'01_人物数据'!F28</f>
        <v>否</v>
      </c>
      <c r="G28" s="12" t="str">
        <f>'01_人物数据'!G28</f>
        <v>不适用</v>
      </c>
      <c r="H28" s="13" t="str">
        <f>'01_人物数据'!H28</f>
        <v>不适用</v>
      </c>
      <c r="I28" s="12" t="str">
        <f>'01_人物数据'!I28</f>
        <v>不适用</v>
      </c>
      <c r="J28" s="13" t="str">
        <f>'01_人物数据'!J28</f>
        <v>不适用</v>
      </c>
      <c r="K28" s="12" t="str">
        <f>'01_人物数据'!K28</f>
        <v>本周直播并取得佣金</v>
      </c>
      <c r="L28" s="14"/>
      <c r="M28" s="14"/>
      <c r="N28" s="6"/>
      <c r="O28" s="7" t="str">
        <f t="shared" si="0"/>
        <v>待填写</v>
      </c>
    </row>
    <row r="29" spans="1:15" ht="38" customHeight="1">
      <c r="A29" s="13" t="str">
        <f>'01_人物数据'!A29</f>
        <v>P24</v>
      </c>
      <c r="B29" s="13" t="str">
        <f>'01_人物数据'!B29</f>
        <v>小何</v>
      </c>
      <c r="C29" s="13">
        <f>'01_人物数据'!C29</f>
        <v>23</v>
      </c>
      <c r="D29" s="13" t="str">
        <f>'01_人物数据'!D29</f>
        <v>待业毕业生</v>
      </c>
      <c r="E29" s="13">
        <f>'01_人物数据'!E29</f>
        <v>0</v>
      </c>
      <c r="F29" s="13" t="str">
        <f>'01_人物数据'!F29</f>
        <v>否</v>
      </c>
      <c r="G29" s="12" t="str">
        <f>'01_人物数据'!G29</f>
        <v>无</v>
      </c>
      <c r="H29" s="13" t="str">
        <f>'01_人物数据'!H29</f>
        <v>是</v>
      </c>
      <c r="I29" s="12" t="str">
        <f>'01_人物数据'!I29</f>
        <v>两周内投递5份简历并参加1次面试</v>
      </c>
      <c r="J29" s="13" t="str">
        <f>'01_人物数据'!J29</f>
        <v>是</v>
      </c>
      <c r="K29" s="12" t="str">
        <f>'01_人物数据'!K29</f>
        <v>目前无工作，可立即到岗</v>
      </c>
      <c r="L29" s="14"/>
      <c r="M29" s="14"/>
      <c r="N29" s="6"/>
      <c r="O29" s="7" t="str">
        <f t="shared" si="0"/>
        <v>待填写</v>
      </c>
    </row>
    <row r="30" spans="1:15" ht="38" customHeight="1">
      <c r="A30" s="13" t="str">
        <f>'01_人物数据'!A30</f>
        <v>P25</v>
      </c>
      <c r="B30" s="13" t="str">
        <f>'01_人物数据'!B30</f>
        <v>小夏</v>
      </c>
      <c r="C30" s="13">
        <f>'01_人物数据'!C30</f>
        <v>21</v>
      </c>
      <c r="D30" s="13" t="str">
        <f>'01_人物数据'!D30</f>
        <v>应届本科生</v>
      </c>
      <c r="E30" s="13">
        <f>'01_人物数据'!E30</f>
        <v>0</v>
      </c>
      <c r="F30" s="13" t="str">
        <f>'01_人物数据'!F30</f>
        <v>否</v>
      </c>
      <c r="G30" s="12" t="str">
        <f>'01_人物数据'!G30</f>
        <v>无</v>
      </c>
      <c r="H30" s="13" t="str">
        <f>'01_人物数据'!H30</f>
        <v>是</v>
      </c>
      <c r="I30" s="12" t="str">
        <f>'01_人物数据'!I30</f>
        <v>近1个月投递3个岗位</v>
      </c>
      <c r="J30" s="13" t="str">
        <f>'01_人物数据'!J30</f>
        <v>是</v>
      </c>
      <c r="K30" s="12" t="str">
        <f>'01_人物数据'!K30</f>
        <v>目前无工作，下周可到岗</v>
      </c>
      <c r="L30" s="14"/>
      <c r="M30" s="14"/>
      <c r="N30" s="6"/>
      <c r="O30" s="7" t="str">
        <f t="shared" si="0"/>
        <v>待填写</v>
      </c>
    </row>
    <row r="31" spans="1:15" ht="38" customHeight="1">
      <c r="A31" s="13" t="str">
        <f>'01_人物数据'!A31</f>
        <v>P26</v>
      </c>
      <c r="B31" s="13" t="str">
        <f>'01_人物数据'!B31</f>
        <v>彭涛</v>
      </c>
      <c r="C31" s="13">
        <f>'01_人物数据'!C31</f>
        <v>42</v>
      </c>
      <c r="D31" s="13" t="str">
        <f>'01_人物数据'!D31</f>
        <v>被裁职工</v>
      </c>
      <c r="E31" s="13">
        <f>'01_人物数据'!E31</f>
        <v>0</v>
      </c>
      <c r="F31" s="13" t="str">
        <f>'01_人物数据'!F31</f>
        <v>否</v>
      </c>
      <c r="G31" s="12" t="str">
        <f>'01_人物数据'!G31</f>
        <v>无</v>
      </c>
      <c r="H31" s="13" t="str">
        <f>'01_人物数据'!H31</f>
        <v>是</v>
      </c>
      <c r="I31" s="12" t="str">
        <f>'01_人物数据'!I31</f>
        <v>近2周联系公共就业服务并面谈雇主</v>
      </c>
      <c r="J31" s="13" t="str">
        <f>'01_人物数据'!J31</f>
        <v>是</v>
      </c>
      <c r="K31" s="12" t="str">
        <f>'01_人物数据'!K31</f>
        <v>目前无工作，3天内可到岗</v>
      </c>
      <c r="L31" s="14"/>
      <c r="M31" s="14"/>
      <c r="N31" s="6"/>
      <c r="O31" s="7" t="str">
        <f t="shared" si="0"/>
        <v>待填写</v>
      </c>
    </row>
    <row r="32" spans="1:15" ht="38" customHeight="1">
      <c r="A32" s="13" t="str">
        <f>'01_人物数据'!A32</f>
        <v>P27</v>
      </c>
      <c r="B32" s="13" t="str">
        <f>'01_人物数据'!B32</f>
        <v>周琴</v>
      </c>
      <c r="C32" s="13">
        <f>'01_人物数据'!C32</f>
        <v>36</v>
      </c>
      <c r="D32" s="13" t="str">
        <f>'01_人物数据'!D32</f>
        <v>离职人员</v>
      </c>
      <c r="E32" s="13">
        <f>'01_人物数据'!E32</f>
        <v>0</v>
      </c>
      <c r="F32" s="13" t="str">
        <f>'01_人物数据'!F32</f>
        <v>否</v>
      </c>
      <c r="G32" s="12" t="str">
        <f>'01_人物数据'!G32</f>
        <v>无</v>
      </c>
      <c r="H32" s="13" t="str">
        <f>'01_人物数据'!H32</f>
        <v>是</v>
      </c>
      <c r="I32" s="12" t="str">
        <f>'01_人物数据'!I32</f>
        <v>上月申请2个岗位并电话跟进</v>
      </c>
      <c r="J32" s="13" t="str">
        <f>'01_人物数据'!J32</f>
        <v>是</v>
      </c>
      <c r="K32" s="12" t="str">
        <f>'01_人物数据'!K32</f>
        <v>目前无工作，明日可到岗</v>
      </c>
      <c r="L32" s="14"/>
      <c r="M32" s="14"/>
      <c r="N32" s="6"/>
      <c r="O32" s="7" t="str">
        <f t="shared" si="0"/>
        <v>待填写</v>
      </c>
    </row>
    <row r="33" spans="1:15" ht="38" customHeight="1">
      <c r="A33" s="13" t="str">
        <f>'01_人物数据'!A33</f>
        <v>P28</v>
      </c>
      <c r="B33" s="13" t="str">
        <f>'01_人物数据'!B33</f>
        <v>李国安</v>
      </c>
      <c r="C33" s="13">
        <f>'01_人物数据'!C33</f>
        <v>50</v>
      </c>
      <c r="D33" s="13" t="str">
        <f>'01_人物数据'!D33</f>
        <v>暂未就业</v>
      </c>
      <c r="E33" s="13">
        <f>'01_人物数据'!E33</f>
        <v>0</v>
      </c>
      <c r="F33" s="13" t="str">
        <f>'01_人物数据'!F33</f>
        <v>否</v>
      </c>
      <c r="G33" s="12" t="str">
        <f>'01_人物数据'!G33</f>
        <v>无</v>
      </c>
      <c r="H33" s="13" t="str">
        <f>'01_人物数据'!H33</f>
        <v>否</v>
      </c>
      <c r="I33" s="12" t="str">
        <f>'01_人物数据'!I33</f>
        <v>最近一次求职在5个月前</v>
      </c>
      <c r="J33" s="13" t="str">
        <f>'01_人物数据'!J33</f>
        <v>是</v>
      </c>
      <c r="K33" s="12" t="str">
        <f>'01_人物数据'!K33</f>
        <v>仍想工作，但近3个月无实际求职</v>
      </c>
      <c r="L33" s="14"/>
      <c r="M33" s="14"/>
      <c r="N33" s="6"/>
      <c r="O33" s="7" t="str">
        <f t="shared" si="0"/>
        <v>待填写</v>
      </c>
    </row>
    <row r="34" spans="1:15" ht="38" customHeight="1">
      <c r="A34" s="13" t="str">
        <f>'01_人物数据'!A34</f>
        <v>P29</v>
      </c>
      <c r="B34" s="13" t="str">
        <f>'01_人物数据'!B34</f>
        <v>王晨</v>
      </c>
      <c r="C34" s="13">
        <f>'01_人物数据'!C34</f>
        <v>19</v>
      </c>
      <c r="D34" s="13" t="str">
        <f>'01_人物数据'!D34</f>
        <v>全日制学生</v>
      </c>
      <c r="E34" s="13">
        <f>'01_人物数据'!E34</f>
        <v>0</v>
      </c>
      <c r="F34" s="13" t="str">
        <f>'01_人物数据'!F34</f>
        <v>否</v>
      </c>
      <c r="G34" s="12" t="str">
        <f>'01_人物数据'!G34</f>
        <v>无</v>
      </c>
      <c r="H34" s="13" t="str">
        <f>'01_人物数据'!H34</f>
        <v>否</v>
      </c>
      <c r="I34" s="12" t="str">
        <f>'01_人物数据'!I34</f>
        <v>未求职</v>
      </c>
      <c r="J34" s="13" t="str">
        <f>'01_人物数据'!J34</f>
        <v>否</v>
      </c>
      <c r="K34" s="12" t="str">
        <f>'01_人物数据'!K34</f>
        <v>考试期间暂不准备工作</v>
      </c>
      <c r="L34" s="14"/>
      <c r="M34" s="14"/>
      <c r="N34" s="6"/>
      <c r="O34" s="7" t="str">
        <f t="shared" si="0"/>
        <v>待填写</v>
      </c>
    </row>
    <row r="35" spans="1:15" ht="38" customHeight="1">
      <c r="A35" s="13" t="str">
        <f>'01_人物数据'!A35</f>
        <v>P30</v>
      </c>
      <c r="B35" s="13" t="str">
        <f>'01_人物数据'!B35</f>
        <v>刘芳</v>
      </c>
      <c r="C35" s="13">
        <f>'01_人物数据'!C35</f>
        <v>46</v>
      </c>
      <c r="D35" s="13" t="str">
        <f>'01_人物数据'!D35</f>
        <v>全职家庭照护者</v>
      </c>
      <c r="E35" s="13">
        <f>'01_人物数据'!E35</f>
        <v>0</v>
      </c>
      <c r="F35" s="13" t="str">
        <f>'01_人物数据'!F35</f>
        <v>否</v>
      </c>
      <c r="G35" s="12" t="str">
        <f>'01_人物数据'!G35</f>
        <v>无</v>
      </c>
      <c r="H35" s="13" t="str">
        <f>'01_人物数据'!H35</f>
        <v>否</v>
      </c>
      <c r="I35" s="12" t="str">
        <f>'01_人物数据'!I35</f>
        <v>未求职</v>
      </c>
      <c r="J35" s="13" t="str">
        <f>'01_人物数据'!J35</f>
        <v>否</v>
      </c>
      <c r="K35" s="12" t="str">
        <f>'01_人物数据'!K35</f>
        <v>未来2周承担全天照护</v>
      </c>
      <c r="L35" s="14"/>
      <c r="M35" s="14"/>
      <c r="N35" s="6"/>
      <c r="O35" s="7" t="str">
        <f t="shared" si="0"/>
        <v>待填写</v>
      </c>
    </row>
    <row r="36" spans="1:15" ht="38" customHeight="1">
      <c r="A36" s="13" t="str">
        <f>'01_人物数据'!A36</f>
        <v>P31</v>
      </c>
      <c r="B36" s="13" t="str">
        <f>'01_人物数据'!B36</f>
        <v>郑国华</v>
      </c>
      <c r="C36" s="13">
        <f>'01_人物数据'!C36</f>
        <v>69</v>
      </c>
      <c r="D36" s="13" t="str">
        <f>'01_人物数据'!D36</f>
        <v>退休人员</v>
      </c>
      <c r="E36" s="13">
        <f>'01_人物数据'!E36</f>
        <v>0</v>
      </c>
      <c r="F36" s="13" t="str">
        <f>'01_人物数据'!F36</f>
        <v>否</v>
      </c>
      <c r="G36" s="12" t="str">
        <f>'01_人物数据'!G36</f>
        <v>无</v>
      </c>
      <c r="H36" s="13" t="str">
        <f>'01_人物数据'!H36</f>
        <v>否</v>
      </c>
      <c r="I36" s="12" t="str">
        <f>'01_人物数据'!I36</f>
        <v>未求职</v>
      </c>
      <c r="J36" s="13" t="str">
        <f>'01_人物数据'!J36</f>
        <v>否</v>
      </c>
      <c r="K36" s="12" t="str">
        <f>'01_人物数据'!K36</f>
        <v>本周无有酬活动</v>
      </c>
      <c r="L36" s="14"/>
      <c r="M36" s="14"/>
      <c r="N36" s="6"/>
      <c r="O36" s="7" t="str">
        <f t="shared" si="0"/>
        <v>待填写</v>
      </c>
    </row>
    <row r="37" spans="1:15" ht="38" customHeight="1">
      <c r="A37" s="13" t="str">
        <f>'01_人物数据'!A37</f>
        <v>P32</v>
      </c>
      <c r="B37" s="13" t="str">
        <f>'01_人物数据'!B37</f>
        <v>钱媛</v>
      </c>
      <c r="C37" s="13">
        <f>'01_人物数据'!C37</f>
        <v>33</v>
      </c>
      <c r="D37" s="13" t="str">
        <f>'01_人物数据'!D37</f>
        <v>术后恢复人员</v>
      </c>
      <c r="E37" s="13">
        <f>'01_人物数据'!E37</f>
        <v>0</v>
      </c>
      <c r="F37" s="13" t="str">
        <f>'01_人物数据'!F37</f>
        <v>否</v>
      </c>
      <c r="G37" s="12" t="str">
        <f>'01_人物数据'!G37</f>
        <v>无</v>
      </c>
      <c r="H37" s="13" t="str">
        <f>'01_人物数据'!H37</f>
        <v>是</v>
      </c>
      <c r="I37" s="12" t="str">
        <f>'01_人物数据'!I37</f>
        <v>近1个月投递并参加面试</v>
      </c>
      <c r="J37" s="13" t="str">
        <f>'01_人物数据'!J37</f>
        <v>否</v>
      </c>
      <c r="K37" s="12" t="str">
        <f>'01_人物数据'!K37</f>
        <v>医生建议3周后再开始工作</v>
      </c>
      <c r="L37" s="14"/>
      <c r="M37" s="14"/>
      <c r="N37" s="6"/>
      <c r="O37" s="7" t="str">
        <f t="shared" si="0"/>
        <v>待填写</v>
      </c>
    </row>
    <row r="38" spans="1:15" ht="38" customHeight="1">
      <c r="A38" s="13" t="str">
        <f>'01_人物数据'!A38</f>
        <v>P33</v>
      </c>
      <c r="B38" s="13" t="str">
        <f>'01_人物数据'!B38</f>
        <v>冯远</v>
      </c>
      <c r="C38" s="13">
        <f>'01_人物数据'!C38</f>
        <v>28</v>
      </c>
      <c r="D38" s="13" t="str">
        <f>'01_人物数据'!D38</f>
        <v>长期旅行者</v>
      </c>
      <c r="E38" s="13">
        <f>'01_人物数据'!E38</f>
        <v>0</v>
      </c>
      <c r="F38" s="13" t="str">
        <f>'01_人物数据'!F38</f>
        <v>否</v>
      </c>
      <c r="G38" s="12" t="str">
        <f>'01_人物数据'!G38</f>
        <v>无</v>
      </c>
      <c r="H38" s="13" t="str">
        <f>'01_人物数据'!H38</f>
        <v>否</v>
      </c>
      <c r="I38" s="12" t="str">
        <f>'01_人物数据'!I38</f>
        <v>未求职</v>
      </c>
      <c r="J38" s="13" t="str">
        <f>'01_人物数据'!J38</f>
        <v>否</v>
      </c>
      <c r="K38" s="12" t="str">
        <f>'01_人物数据'!K38</f>
        <v>未来6周不在本地</v>
      </c>
      <c r="L38" s="14"/>
      <c r="M38" s="14"/>
      <c r="N38" s="6"/>
      <c r="O38" s="7" t="str">
        <f t="shared" si="0"/>
        <v>待填写</v>
      </c>
    </row>
    <row r="39" spans="1:15" ht="38" customHeight="1">
      <c r="A39" s="13" t="str">
        <f>'01_人物数据'!A39</f>
        <v>P34</v>
      </c>
      <c r="B39" s="13" t="str">
        <f>'01_人物数据'!B39</f>
        <v>许航</v>
      </c>
      <c r="C39" s="13">
        <f>'01_人物数据'!C39</f>
        <v>22</v>
      </c>
      <c r="D39" s="13" t="str">
        <f>'01_人物数据'!D39</f>
        <v>备考研究生</v>
      </c>
      <c r="E39" s="13">
        <f>'01_人物数据'!E39</f>
        <v>0</v>
      </c>
      <c r="F39" s="13" t="str">
        <f>'01_人物数据'!F39</f>
        <v>否</v>
      </c>
      <c r="G39" s="12" t="str">
        <f>'01_人物数据'!G39</f>
        <v>无</v>
      </c>
      <c r="H39" s="13" t="str">
        <f>'01_人物数据'!H39</f>
        <v>否</v>
      </c>
      <c r="I39" s="12" t="str">
        <f>'01_人物数据'!I39</f>
        <v>未求职</v>
      </c>
      <c r="J39" s="13" t="str">
        <f>'01_人物数据'!J39</f>
        <v>否</v>
      </c>
      <c r="K39" s="12" t="str">
        <f>'01_人物数据'!K39</f>
        <v>未来2周不接受工作</v>
      </c>
      <c r="L39" s="14"/>
      <c r="M39" s="14"/>
      <c r="N39" s="6"/>
      <c r="O39" s="7" t="str">
        <f t="shared" si="0"/>
        <v>待填写</v>
      </c>
    </row>
    <row r="40" spans="1:15" ht="38" customHeight="1">
      <c r="A40" s="13" t="str">
        <f>'01_人物数据'!A40</f>
        <v>P35</v>
      </c>
      <c r="B40" s="13" t="str">
        <f>'01_人物数据'!B40</f>
        <v>贾宁</v>
      </c>
      <c r="C40" s="13">
        <f>'01_人物数据'!C40</f>
        <v>40</v>
      </c>
      <c r="D40" s="13" t="str">
        <f>'01_人物数据'!D40</f>
        <v>想找工作者</v>
      </c>
      <c r="E40" s="13">
        <f>'01_人物数据'!E40</f>
        <v>0</v>
      </c>
      <c r="F40" s="13" t="str">
        <f>'01_人物数据'!F40</f>
        <v>否</v>
      </c>
      <c r="G40" s="12" t="str">
        <f>'01_人物数据'!G40</f>
        <v>无</v>
      </c>
      <c r="H40" s="13" t="str">
        <f>'01_人物数据'!H40</f>
        <v>否</v>
      </c>
      <c r="I40" s="12" t="str">
        <f>'01_人物数据'!I40</f>
        <v>近3个月只表达意愿，未投递、未联系雇主</v>
      </c>
      <c r="J40" s="13" t="str">
        <f>'01_人物数据'!J40</f>
        <v>是</v>
      </c>
      <c r="K40" s="12" t="str">
        <f>'01_人物数据'!K40</f>
        <v>可以立即工作</v>
      </c>
      <c r="L40" s="14"/>
      <c r="M40" s="14"/>
      <c r="N40" s="6"/>
      <c r="O40" s="7" t="str">
        <f t="shared" si="0"/>
        <v>待填写</v>
      </c>
    </row>
    <row r="41" spans="1:15" ht="38" customHeight="1">
      <c r="A41" s="13" t="str">
        <f>'01_人物数据'!A41</f>
        <v>P36</v>
      </c>
      <c r="B41" s="13" t="str">
        <f>'01_人物数据'!B41</f>
        <v>孟琪</v>
      </c>
      <c r="C41" s="13">
        <f>'01_人物数据'!C41</f>
        <v>55</v>
      </c>
      <c r="D41" s="13" t="str">
        <f>'01_人物数据'!D41</f>
        <v>家庭照护者</v>
      </c>
      <c r="E41" s="13">
        <f>'01_人物数据'!E41</f>
        <v>0</v>
      </c>
      <c r="F41" s="13" t="str">
        <f>'01_人物数据'!F41</f>
        <v>否</v>
      </c>
      <c r="G41" s="12" t="str">
        <f>'01_人物数据'!G41</f>
        <v>无</v>
      </c>
      <c r="H41" s="13" t="str">
        <f>'01_人物数据'!H41</f>
        <v>否</v>
      </c>
      <c r="I41" s="12" t="str">
        <f>'01_人物数据'!I41</f>
        <v>未求职</v>
      </c>
      <c r="J41" s="13" t="str">
        <f>'01_人物数据'!J41</f>
        <v>否</v>
      </c>
      <c r="K41" s="12" t="str">
        <f>'01_人物数据'!K41</f>
        <v>未来1个月无法离开照护岗位</v>
      </c>
      <c r="L41" s="14"/>
      <c r="M41" s="14"/>
      <c r="N41" s="6"/>
      <c r="O41" s="7" t="str">
        <f t="shared" si="0"/>
        <v>待填写</v>
      </c>
    </row>
  </sheetData>
  <mergeCells count="2">
    <mergeCell ref="A1:O1"/>
    <mergeCell ref="A2:O2"/>
  </mergeCells>
  <phoneticPr fontId="11" type="noConversion"/>
  <dataValidations count="2">
    <dataValidation type="list" sqref="L6:L41" xr:uid="{00000000-0002-0000-0200-000000000000}">
      <formula1>"E,U,N"</formula1>
    </dataValidation>
    <dataValidation type="list" sqref="M6:M41" xr:uid="{00000000-0002-0000-0200-000001000000}">
      <formula1>"R-E01,R-E02,R-U01,R-N01,R-N02"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showGridLines="0" workbookViewId="0"/>
  </sheetViews>
  <sheetFormatPr defaultRowHeight="13.5"/>
  <cols>
    <col min="1" max="1" width="25" customWidth="1"/>
    <col min="2" max="2" width="27" customWidth="1"/>
    <col min="3" max="3" width="22" customWidth="1"/>
    <col min="4" max="4" width="18" customWidth="1"/>
    <col min="5" max="5" width="36" customWidth="1"/>
  </cols>
  <sheetData>
    <row r="1" spans="1:5" ht="32" customHeight="1">
      <c r="A1" s="24" t="s">
        <v>223</v>
      </c>
      <c r="B1" s="24"/>
      <c r="C1" s="24"/>
      <c r="D1" s="24"/>
      <c r="E1" s="24"/>
    </row>
    <row r="2" spans="1:5" ht="30" customHeight="1">
      <c r="A2" s="25" t="s">
        <v>224</v>
      </c>
      <c r="B2" s="25"/>
      <c r="C2" s="25"/>
      <c r="D2" s="25"/>
      <c r="E2" s="25"/>
    </row>
    <row r="3" spans="1:5" ht="13.9">
      <c r="A3" s="1"/>
      <c r="B3" s="1"/>
      <c r="C3" s="1"/>
      <c r="D3" s="1"/>
      <c r="E3" s="1"/>
    </row>
    <row r="4" spans="1:5" ht="13.9">
      <c r="A4" s="1"/>
      <c r="B4" s="1"/>
      <c r="C4" s="1"/>
      <c r="D4" s="1"/>
      <c r="E4" s="1"/>
    </row>
    <row r="5" spans="1:5" ht="32" customHeight="1">
      <c r="A5" s="2" t="s">
        <v>225</v>
      </c>
      <c r="B5" s="2" t="s">
        <v>226</v>
      </c>
      <c r="C5" s="2" t="s">
        <v>227</v>
      </c>
      <c r="D5" s="2" t="s">
        <v>228</v>
      </c>
      <c r="E5" s="2" t="s">
        <v>229</v>
      </c>
    </row>
    <row r="6" spans="1:5" ht="34.049999999999997" customHeight="1">
      <c r="A6" s="9" t="s">
        <v>230</v>
      </c>
      <c r="B6" s="15"/>
      <c r="C6" s="16">
        <f>COUNTA('02_V1分类'!A6:A41)</f>
        <v>36</v>
      </c>
      <c r="D6" s="16" t="str">
        <f t="shared" ref="D6:D14" si="0">IF(B6="","待输入",IF(ABS(B6-C6)&lt;0.000001,"一致","请检查公式"))</f>
        <v>待输入</v>
      </c>
      <c r="E6" s="9" t="s">
        <v>231</v>
      </c>
    </row>
    <row r="7" spans="1:5" ht="34.049999999999997" customHeight="1">
      <c r="A7" s="9" t="s">
        <v>232</v>
      </c>
      <c r="B7" s="15"/>
      <c r="C7" s="16">
        <f>COUNTIF('02_V1分类'!L6:L41,"E")</f>
        <v>0</v>
      </c>
      <c r="D7" s="16" t="str">
        <f t="shared" si="0"/>
        <v>待输入</v>
      </c>
      <c r="E7" s="9" t="s">
        <v>233</v>
      </c>
    </row>
    <row r="8" spans="1:5" ht="34.049999999999997" customHeight="1">
      <c r="A8" s="9" t="s">
        <v>234</v>
      </c>
      <c r="B8" s="15"/>
      <c r="C8" s="16">
        <f>COUNTIF('02_V1分类'!L6:L41,"U")</f>
        <v>0</v>
      </c>
      <c r="D8" s="16" t="str">
        <f t="shared" si="0"/>
        <v>待输入</v>
      </c>
      <c r="E8" s="9" t="s">
        <v>235</v>
      </c>
    </row>
    <row r="9" spans="1:5" ht="34.049999999999997" customHeight="1">
      <c r="A9" s="9" t="s">
        <v>236</v>
      </c>
      <c r="B9" s="15"/>
      <c r="C9" s="16">
        <f>COUNTIF('02_V1分类'!L6:L41,"N")</f>
        <v>0</v>
      </c>
      <c r="D9" s="16" t="str">
        <f t="shared" si="0"/>
        <v>待输入</v>
      </c>
      <c r="E9" s="9" t="s">
        <v>237</v>
      </c>
    </row>
    <row r="10" spans="1:5" ht="34.049999999999997" customHeight="1">
      <c r="A10" s="9" t="s">
        <v>238</v>
      </c>
      <c r="B10" s="15"/>
      <c r="C10" s="16">
        <f>C7+C8</f>
        <v>0</v>
      </c>
      <c r="D10" s="16" t="str">
        <f t="shared" si="0"/>
        <v>待输入</v>
      </c>
      <c r="E10" s="9" t="s">
        <v>239</v>
      </c>
    </row>
    <row r="11" spans="1:5" ht="34.049999999999997" customHeight="1">
      <c r="A11" s="9" t="s">
        <v>240</v>
      </c>
      <c r="B11" s="17"/>
      <c r="C11" s="18">
        <f>IF(C6=0,"",C10/C6)</f>
        <v>0</v>
      </c>
      <c r="D11" s="16" t="str">
        <f t="shared" si="0"/>
        <v>待输入</v>
      </c>
      <c r="E11" s="9" t="s">
        <v>241</v>
      </c>
    </row>
    <row r="12" spans="1:5" ht="34.049999999999997" customHeight="1">
      <c r="A12" s="9" t="s">
        <v>242</v>
      </c>
      <c r="B12" s="17"/>
      <c r="C12" s="18">
        <f>IF(C6=0,"",C7/C6)</f>
        <v>0</v>
      </c>
      <c r="D12" s="16" t="str">
        <f t="shared" si="0"/>
        <v>待输入</v>
      </c>
      <c r="E12" s="9" t="s">
        <v>243</v>
      </c>
    </row>
    <row r="13" spans="1:5" ht="34.049999999999997" customHeight="1">
      <c r="A13" s="9" t="s">
        <v>244</v>
      </c>
      <c r="B13" s="17"/>
      <c r="C13" s="18" t="str">
        <f>IF(C10=0,"",C8/C10)</f>
        <v/>
      </c>
      <c r="D13" s="16" t="str">
        <f t="shared" si="0"/>
        <v>待输入</v>
      </c>
      <c r="E13" s="9" t="s">
        <v>245</v>
      </c>
    </row>
    <row r="14" spans="1:5" ht="34.049999999999997" customHeight="1">
      <c r="A14" s="9" t="s">
        <v>246</v>
      </c>
      <c r="B14" s="15"/>
      <c r="C14" s="16">
        <f>C7+C8+C9</f>
        <v>0</v>
      </c>
      <c r="D14" s="16" t="str">
        <f t="shared" si="0"/>
        <v>待输入</v>
      </c>
      <c r="E14" s="9" t="s">
        <v>247</v>
      </c>
    </row>
    <row r="15" spans="1:5" ht="13.9">
      <c r="A15" s="1"/>
      <c r="B15" s="1"/>
      <c r="C15" s="1"/>
      <c r="D15" s="1"/>
      <c r="E15" s="1"/>
    </row>
    <row r="16" spans="1:5" ht="13.9">
      <c r="A16" s="1"/>
      <c r="B16" s="1"/>
      <c r="C16" s="1"/>
      <c r="D16" s="1"/>
      <c r="E16" s="1"/>
    </row>
    <row r="17" spans="1:5" ht="26" customHeight="1">
      <c r="A17" s="31" t="s">
        <v>248</v>
      </c>
      <c r="B17" s="31"/>
      <c r="C17" s="31"/>
      <c r="D17" s="31"/>
      <c r="E17" s="31"/>
    </row>
    <row r="18" spans="1:5" ht="30" customHeight="1">
      <c r="A18" s="5" t="s">
        <v>34</v>
      </c>
      <c r="B18" s="32" t="s">
        <v>249</v>
      </c>
      <c r="C18" s="32"/>
      <c r="D18" s="32"/>
      <c r="E18" s="32"/>
    </row>
    <row r="19" spans="1:5" ht="30" customHeight="1">
      <c r="A19" s="5" t="s">
        <v>36</v>
      </c>
      <c r="B19" s="32" t="s">
        <v>250</v>
      </c>
      <c r="C19" s="32"/>
      <c r="D19" s="32"/>
      <c r="E19" s="32"/>
    </row>
    <row r="20" spans="1:5" ht="30" customHeight="1">
      <c r="A20" s="5" t="s">
        <v>38</v>
      </c>
      <c r="B20" s="32" t="s">
        <v>251</v>
      </c>
      <c r="C20" s="32"/>
      <c r="D20" s="32"/>
      <c r="E20" s="32"/>
    </row>
    <row r="21" spans="1:5" ht="30" customHeight="1">
      <c r="A21" s="5" t="s">
        <v>252</v>
      </c>
      <c r="B21" s="32" t="s">
        <v>253</v>
      </c>
      <c r="C21" s="32"/>
      <c r="D21" s="32"/>
      <c r="E21" s="32"/>
    </row>
    <row r="22" spans="1:5" ht="30" customHeight="1">
      <c r="A22" s="5" t="s">
        <v>254</v>
      </c>
      <c r="B22" s="32" t="s">
        <v>255</v>
      </c>
      <c r="C22" s="32"/>
      <c r="D22" s="32"/>
      <c r="E22" s="32"/>
    </row>
    <row r="23" spans="1:5" ht="13.9">
      <c r="A23" s="1"/>
      <c r="B23" s="1"/>
      <c r="C23" s="1"/>
      <c r="D23" s="1"/>
      <c r="E23" s="1"/>
    </row>
    <row r="24" spans="1:5" ht="13.9">
      <c r="A24" s="1"/>
      <c r="B24" s="1"/>
      <c r="C24" s="1"/>
      <c r="D24" s="1"/>
      <c r="E24" s="1"/>
    </row>
  </sheetData>
  <mergeCells count="8">
    <mergeCell ref="B20:E20"/>
    <mergeCell ref="B21:E21"/>
    <mergeCell ref="B22:E22"/>
    <mergeCell ref="A1:E1"/>
    <mergeCell ref="A2:E2"/>
    <mergeCell ref="A17:E17"/>
    <mergeCell ref="B18:E18"/>
    <mergeCell ref="B19:E19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8"/>
  <sheetViews>
    <sheetView showGridLines="0" workbookViewId="0"/>
  </sheetViews>
  <sheetFormatPr defaultRowHeight="13.5"/>
  <cols>
    <col min="1" max="1" width="14" customWidth="1"/>
    <col min="2" max="2" width="27" customWidth="1"/>
    <col min="3" max="3" width="40" customWidth="1"/>
    <col min="4" max="4" width="42" customWidth="1"/>
    <col min="5" max="5" width="14" customWidth="1"/>
    <col min="6" max="6" width="38" customWidth="1"/>
    <col min="7" max="7" width="32" customWidth="1"/>
    <col min="8" max="8" width="18" customWidth="1"/>
  </cols>
  <sheetData>
    <row r="1" spans="1:8" ht="32" customHeight="1">
      <c r="A1" s="24" t="s">
        <v>256</v>
      </c>
      <c r="B1" s="24"/>
      <c r="C1" s="24"/>
      <c r="D1" s="24"/>
      <c r="E1" s="24"/>
      <c r="F1" s="24"/>
      <c r="G1" s="24"/>
      <c r="H1" s="24"/>
    </row>
    <row r="2" spans="1:8" ht="30" customHeight="1">
      <c r="A2" s="25" t="s">
        <v>257</v>
      </c>
      <c r="B2" s="25"/>
      <c r="C2" s="25"/>
      <c r="D2" s="25"/>
      <c r="E2" s="25"/>
      <c r="F2" s="25"/>
      <c r="G2" s="25"/>
      <c r="H2" s="25"/>
    </row>
    <row r="3" spans="1:8" ht="13.9">
      <c r="A3" s="1"/>
      <c r="B3" s="1"/>
      <c r="C3" s="1"/>
      <c r="D3" s="1"/>
      <c r="E3" s="1"/>
      <c r="F3" s="1"/>
      <c r="G3" s="1"/>
      <c r="H3" s="1"/>
    </row>
    <row r="4" spans="1:8" ht="13.9">
      <c r="A4" s="5" t="s">
        <v>258</v>
      </c>
      <c r="B4" s="6"/>
      <c r="C4" s="1"/>
      <c r="D4" s="1"/>
      <c r="E4" s="1"/>
      <c r="F4" s="1"/>
      <c r="G4" s="1"/>
      <c r="H4" s="1"/>
    </row>
    <row r="5" spans="1:8" ht="13.9">
      <c r="A5" s="5" t="s">
        <v>259</v>
      </c>
      <c r="B5" s="6"/>
      <c r="C5" s="1"/>
      <c r="D5" s="1"/>
      <c r="E5" s="1"/>
      <c r="F5" s="1"/>
      <c r="G5" s="1"/>
      <c r="H5" s="1"/>
    </row>
    <row r="6" spans="1:8" ht="13.9">
      <c r="A6" s="5" t="s">
        <v>260</v>
      </c>
      <c r="B6" s="6"/>
      <c r="C6" s="1"/>
      <c r="D6" s="1"/>
      <c r="E6" s="1"/>
      <c r="F6" s="1"/>
      <c r="G6" s="1"/>
      <c r="H6" s="1"/>
    </row>
    <row r="7" spans="1:8" ht="13.9">
      <c r="A7" s="5" t="s">
        <v>261</v>
      </c>
      <c r="B7" s="6"/>
      <c r="C7" s="1"/>
      <c r="D7" s="1"/>
      <c r="E7" s="1"/>
      <c r="F7" s="1"/>
      <c r="G7" s="1"/>
      <c r="H7" s="1"/>
    </row>
    <row r="8" spans="1:8" ht="13.9">
      <c r="A8" s="5" t="s">
        <v>262</v>
      </c>
      <c r="B8" s="6"/>
      <c r="C8" s="1"/>
      <c r="D8" s="1"/>
      <c r="E8" s="1"/>
      <c r="F8" s="1"/>
      <c r="G8" s="1"/>
      <c r="H8" s="1"/>
    </row>
    <row r="9" spans="1:8" ht="13.9">
      <c r="A9" s="5" t="s">
        <v>263</v>
      </c>
      <c r="B9" s="6"/>
      <c r="C9" s="1"/>
      <c r="D9" s="1"/>
      <c r="E9" s="1"/>
      <c r="F9" s="1"/>
      <c r="G9" s="1"/>
      <c r="H9" s="1"/>
    </row>
    <row r="10" spans="1:8" ht="13.9">
      <c r="A10" s="5" t="s">
        <v>264</v>
      </c>
      <c r="B10" s="7" t="s">
        <v>265</v>
      </c>
      <c r="C10" s="1"/>
      <c r="D10" s="1"/>
      <c r="E10" s="1"/>
      <c r="F10" s="1"/>
      <c r="G10" s="1"/>
      <c r="H10" s="1"/>
    </row>
    <row r="11" spans="1:8" ht="13.9">
      <c r="A11" s="1"/>
      <c r="B11" s="1"/>
      <c r="C11" s="1"/>
      <c r="D11" s="1"/>
      <c r="E11" s="1"/>
      <c r="F11" s="1"/>
      <c r="G11" s="1"/>
      <c r="H11" s="1"/>
    </row>
    <row r="12" spans="1:8" ht="26" customHeight="1">
      <c r="A12" s="26" t="s">
        <v>266</v>
      </c>
      <c r="B12" s="26"/>
      <c r="C12" s="26"/>
      <c r="D12" s="26"/>
      <c r="E12" s="26"/>
      <c r="F12" s="26"/>
      <c r="G12" s="26"/>
      <c r="H12" s="26"/>
    </row>
    <row r="13" spans="1:8" ht="32" customHeight="1">
      <c r="A13" s="2" t="s">
        <v>267</v>
      </c>
      <c r="B13" s="2" t="s">
        <v>268</v>
      </c>
      <c r="C13" s="2" t="s">
        <v>269</v>
      </c>
      <c r="D13" s="2" t="s">
        <v>270</v>
      </c>
      <c r="E13" s="2" t="s">
        <v>271</v>
      </c>
      <c r="F13" s="2" t="s">
        <v>272</v>
      </c>
      <c r="G13" s="2" t="s">
        <v>273</v>
      </c>
      <c r="H13" s="2" t="s">
        <v>274</v>
      </c>
    </row>
    <row r="14" spans="1:8" ht="42" customHeight="1">
      <c r="A14" s="13">
        <v>1</v>
      </c>
      <c r="B14" s="6"/>
      <c r="C14" s="6"/>
      <c r="D14" s="6"/>
      <c r="E14" s="6"/>
      <c r="F14" s="6"/>
      <c r="G14" s="6"/>
      <c r="H14" s="6"/>
    </row>
    <row r="15" spans="1:8" ht="42" customHeight="1">
      <c r="A15" s="13">
        <v>2</v>
      </c>
      <c r="B15" s="6"/>
      <c r="C15" s="6"/>
      <c r="D15" s="6"/>
      <c r="E15" s="6"/>
      <c r="F15" s="6"/>
      <c r="G15" s="6"/>
      <c r="H15" s="6"/>
    </row>
    <row r="16" spans="1:8" ht="42" customHeight="1">
      <c r="A16" s="13">
        <v>3</v>
      </c>
      <c r="B16" s="6"/>
      <c r="C16" s="6"/>
      <c r="D16" s="6"/>
      <c r="E16" s="6"/>
      <c r="F16" s="6"/>
      <c r="G16" s="6"/>
      <c r="H16" s="6"/>
    </row>
    <row r="17" spans="1:8" ht="42" customHeight="1">
      <c r="A17" s="13">
        <v>4</v>
      </c>
      <c r="B17" s="6"/>
      <c r="C17" s="6"/>
      <c r="D17" s="6"/>
      <c r="E17" s="6"/>
      <c r="F17" s="6"/>
      <c r="G17" s="6"/>
      <c r="H17" s="6"/>
    </row>
    <row r="18" spans="1:8" ht="42" customHeight="1">
      <c r="A18" s="13">
        <v>5</v>
      </c>
      <c r="B18" s="6"/>
      <c r="C18" s="6"/>
      <c r="D18" s="6"/>
      <c r="E18" s="6"/>
      <c r="F18" s="6"/>
      <c r="G18" s="6"/>
      <c r="H18" s="6"/>
    </row>
    <row r="19" spans="1:8" ht="42" customHeight="1">
      <c r="A19" s="13">
        <v>6</v>
      </c>
      <c r="B19" s="6"/>
      <c r="C19" s="6"/>
      <c r="D19" s="6"/>
      <c r="E19" s="6"/>
      <c r="F19" s="6"/>
      <c r="G19" s="6"/>
      <c r="H19" s="6"/>
    </row>
    <row r="20" spans="1:8" ht="42" customHeight="1">
      <c r="A20" s="13">
        <v>7</v>
      </c>
      <c r="B20" s="6"/>
      <c r="C20" s="6"/>
      <c r="D20" s="6"/>
      <c r="E20" s="6"/>
      <c r="F20" s="6"/>
      <c r="G20" s="6"/>
      <c r="H20" s="6"/>
    </row>
    <row r="21" spans="1:8" ht="42" customHeight="1">
      <c r="A21" s="13">
        <v>8</v>
      </c>
      <c r="B21" s="6"/>
      <c r="C21" s="6"/>
      <c r="D21" s="6"/>
      <c r="E21" s="6"/>
      <c r="F21" s="6"/>
      <c r="G21" s="6"/>
      <c r="H21" s="6"/>
    </row>
    <row r="22" spans="1:8" ht="42" customHeight="1">
      <c r="A22" s="13">
        <v>9</v>
      </c>
      <c r="B22" s="6"/>
      <c r="C22" s="6"/>
      <c r="D22" s="6"/>
      <c r="E22" s="6"/>
      <c r="F22" s="6"/>
      <c r="G22" s="6"/>
      <c r="H22" s="6"/>
    </row>
    <row r="23" spans="1:8" ht="42" customHeight="1">
      <c r="A23" s="13">
        <v>10</v>
      </c>
      <c r="B23" s="6"/>
      <c r="C23" s="6"/>
      <c r="D23" s="6"/>
      <c r="E23" s="6"/>
      <c r="F23" s="6"/>
      <c r="G23" s="6"/>
      <c r="H23" s="6"/>
    </row>
    <row r="24" spans="1:8" ht="42" customHeight="1">
      <c r="A24" s="13">
        <v>11</v>
      </c>
      <c r="B24" s="6"/>
      <c r="C24" s="6"/>
      <c r="D24" s="6"/>
      <c r="E24" s="6"/>
      <c r="F24" s="6"/>
      <c r="G24" s="6"/>
      <c r="H24" s="6"/>
    </row>
    <row r="25" spans="1:8" ht="42" customHeight="1">
      <c r="A25" s="13">
        <v>12</v>
      </c>
      <c r="B25" s="6"/>
      <c r="C25" s="6"/>
      <c r="D25" s="6"/>
      <c r="E25" s="6"/>
      <c r="F25" s="6"/>
      <c r="G25" s="6"/>
      <c r="H25" s="6"/>
    </row>
    <row r="26" spans="1:8" ht="42" customHeight="1">
      <c r="A26" s="13">
        <v>13</v>
      </c>
      <c r="B26" s="6"/>
      <c r="C26" s="6"/>
      <c r="D26" s="6"/>
      <c r="E26" s="6"/>
      <c r="F26" s="6"/>
      <c r="G26" s="6"/>
      <c r="H26" s="6"/>
    </row>
    <row r="27" spans="1:8" ht="42" customHeight="1">
      <c r="A27" s="13">
        <v>14</v>
      </c>
      <c r="B27" s="6"/>
      <c r="C27" s="6"/>
      <c r="D27" s="6"/>
      <c r="E27" s="6"/>
      <c r="F27" s="6"/>
      <c r="G27" s="6"/>
      <c r="H27" s="6"/>
    </row>
    <row r="28" spans="1:8" ht="42" customHeight="1">
      <c r="A28" s="13">
        <v>15</v>
      </c>
      <c r="B28" s="6"/>
      <c r="C28" s="6"/>
      <c r="D28" s="6"/>
      <c r="E28" s="6"/>
      <c r="F28" s="6"/>
      <c r="G28" s="6"/>
      <c r="H28" s="6"/>
    </row>
    <row r="29" spans="1:8" ht="42" customHeight="1">
      <c r="A29" s="13">
        <v>16</v>
      </c>
      <c r="B29" s="6"/>
      <c r="C29" s="6"/>
      <c r="D29" s="6"/>
      <c r="E29" s="6"/>
      <c r="F29" s="6"/>
      <c r="G29" s="6"/>
      <c r="H29" s="6"/>
    </row>
    <row r="30" spans="1:8" ht="42" customHeight="1">
      <c r="A30" s="13">
        <v>17</v>
      </c>
      <c r="B30" s="6"/>
      <c r="C30" s="6"/>
      <c r="D30" s="6"/>
      <c r="E30" s="6"/>
      <c r="F30" s="6"/>
      <c r="G30" s="6"/>
      <c r="H30" s="6"/>
    </row>
    <row r="31" spans="1:8" ht="42" customHeight="1">
      <c r="A31" s="13">
        <v>18</v>
      </c>
      <c r="B31" s="6"/>
      <c r="C31" s="6"/>
      <c r="D31" s="6"/>
      <c r="E31" s="6"/>
      <c r="F31" s="6"/>
      <c r="G31" s="6"/>
      <c r="H31" s="6"/>
    </row>
    <row r="32" spans="1:8" ht="42" customHeight="1">
      <c r="A32" s="13">
        <v>19</v>
      </c>
      <c r="B32" s="6"/>
      <c r="C32" s="6"/>
      <c r="D32" s="6"/>
      <c r="E32" s="6"/>
      <c r="F32" s="6"/>
      <c r="G32" s="6"/>
      <c r="H32" s="6"/>
    </row>
    <row r="33" spans="1:8" ht="42" customHeight="1">
      <c r="A33" s="13">
        <v>20</v>
      </c>
      <c r="B33" s="6"/>
      <c r="C33" s="6"/>
      <c r="D33" s="6"/>
      <c r="E33" s="6"/>
      <c r="F33" s="6"/>
      <c r="G33" s="6"/>
      <c r="H33" s="6"/>
    </row>
    <row r="34" spans="1:8" ht="42" customHeight="1">
      <c r="A34" s="13">
        <v>21</v>
      </c>
      <c r="B34" s="6"/>
      <c r="C34" s="6"/>
      <c r="D34" s="6"/>
      <c r="E34" s="6"/>
      <c r="F34" s="6"/>
      <c r="G34" s="6"/>
      <c r="H34" s="6"/>
    </row>
    <row r="35" spans="1:8" ht="42" customHeight="1">
      <c r="A35" s="13">
        <v>22</v>
      </c>
      <c r="B35" s="6"/>
      <c r="C35" s="6"/>
      <c r="D35" s="6"/>
      <c r="E35" s="6"/>
      <c r="F35" s="6"/>
      <c r="G35" s="6"/>
      <c r="H35" s="6"/>
    </row>
    <row r="36" spans="1:8" ht="42" customHeight="1">
      <c r="A36" s="13">
        <v>23</v>
      </c>
      <c r="B36" s="6"/>
      <c r="C36" s="6"/>
      <c r="D36" s="6"/>
      <c r="E36" s="6"/>
      <c r="F36" s="6"/>
      <c r="G36" s="6"/>
      <c r="H36" s="6"/>
    </row>
    <row r="37" spans="1:8" ht="42" customHeight="1">
      <c r="A37" s="13">
        <v>24</v>
      </c>
      <c r="B37" s="6"/>
      <c r="C37" s="6"/>
      <c r="D37" s="6"/>
      <c r="E37" s="6"/>
      <c r="F37" s="6"/>
      <c r="G37" s="6"/>
      <c r="H37" s="6"/>
    </row>
    <row r="38" spans="1:8" ht="42" customHeight="1">
      <c r="A38" s="13">
        <v>25</v>
      </c>
      <c r="B38" s="6"/>
      <c r="C38" s="6"/>
      <c r="D38" s="6"/>
      <c r="E38" s="6"/>
      <c r="F38" s="6"/>
      <c r="G38" s="6"/>
      <c r="H38" s="6"/>
    </row>
    <row r="39" spans="1:8" ht="42" customHeight="1">
      <c r="A39" s="13">
        <v>26</v>
      </c>
      <c r="B39" s="6"/>
      <c r="C39" s="6"/>
      <c r="D39" s="6"/>
      <c r="E39" s="6"/>
      <c r="F39" s="6"/>
      <c r="G39" s="6"/>
      <c r="H39" s="6"/>
    </row>
    <row r="40" spans="1:8" ht="42" customHeight="1">
      <c r="A40" s="13">
        <v>27</v>
      </c>
      <c r="B40" s="6"/>
      <c r="C40" s="6"/>
      <c r="D40" s="6"/>
      <c r="E40" s="6"/>
      <c r="F40" s="6"/>
      <c r="G40" s="6"/>
      <c r="H40" s="6"/>
    </row>
    <row r="41" spans="1:8" ht="42" customHeight="1">
      <c r="A41" s="13">
        <v>28</v>
      </c>
      <c r="B41" s="6"/>
      <c r="C41" s="6"/>
      <c r="D41" s="6"/>
      <c r="E41" s="6"/>
      <c r="F41" s="6"/>
      <c r="G41" s="6"/>
      <c r="H41" s="6"/>
    </row>
    <row r="42" spans="1:8" ht="42" customHeight="1">
      <c r="A42" s="13">
        <v>29</v>
      </c>
      <c r="B42" s="6"/>
      <c r="C42" s="6"/>
      <c r="D42" s="6"/>
      <c r="E42" s="6"/>
      <c r="F42" s="6"/>
      <c r="G42" s="6"/>
      <c r="H42" s="6"/>
    </row>
    <row r="43" spans="1:8" ht="42" customHeight="1">
      <c r="A43" s="13">
        <v>30</v>
      </c>
      <c r="B43" s="6"/>
      <c r="C43" s="6"/>
      <c r="D43" s="6"/>
      <c r="E43" s="6"/>
      <c r="F43" s="6"/>
      <c r="G43" s="6"/>
      <c r="H43" s="6"/>
    </row>
    <row r="44" spans="1:8" ht="42" customHeight="1">
      <c r="A44" s="13">
        <v>31</v>
      </c>
      <c r="B44" s="6"/>
      <c r="C44" s="6"/>
      <c r="D44" s="6"/>
      <c r="E44" s="6"/>
      <c r="F44" s="6"/>
      <c r="G44" s="6"/>
      <c r="H44" s="6"/>
    </row>
    <row r="45" spans="1:8" ht="42" customHeight="1">
      <c r="A45" s="13">
        <v>32</v>
      </c>
      <c r="B45" s="6"/>
      <c r="C45" s="6"/>
      <c r="D45" s="6"/>
      <c r="E45" s="6"/>
      <c r="F45" s="6"/>
      <c r="G45" s="6"/>
      <c r="H45" s="6"/>
    </row>
    <row r="46" spans="1:8" ht="42" customHeight="1">
      <c r="A46" s="13">
        <v>33</v>
      </c>
      <c r="B46" s="6"/>
      <c r="C46" s="6"/>
      <c r="D46" s="6"/>
      <c r="E46" s="6"/>
      <c r="F46" s="6"/>
      <c r="G46" s="6"/>
      <c r="H46" s="6"/>
    </row>
    <row r="47" spans="1:8" ht="42" customHeight="1">
      <c r="A47" s="13">
        <v>34</v>
      </c>
      <c r="B47" s="6"/>
      <c r="C47" s="6"/>
      <c r="D47" s="6"/>
      <c r="E47" s="6"/>
      <c r="F47" s="6"/>
      <c r="G47" s="6"/>
      <c r="H47" s="6"/>
    </row>
    <row r="48" spans="1:8" ht="42" customHeight="1">
      <c r="A48" s="13">
        <v>35</v>
      </c>
      <c r="B48" s="6"/>
      <c r="C48" s="6"/>
      <c r="D48" s="6"/>
      <c r="E48" s="6"/>
      <c r="F48" s="6"/>
      <c r="G48" s="6"/>
      <c r="H48" s="6"/>
    </row>
    <row r="49" spans="1:8" ht="42" customHeight="1">
      <c r="A49" s="13">
        <v>36</v>
      </c>
      <c r="B49" s="6"/>
      <c r="C49" s="6"/>
      <c r="D49" s="6"/>
      <c r="E49" s="6"/>
      <c r="F49" s="6"/>
      <c r="G49" s="6"/>
      <c r="H49" s="6"/>
    </row>
    <row r="50" spans="1:8" ht="13.9">
      <c r="A50" s="1"/>
      <c r="B50" s="1"/>
      <c r="C50" s="1"/>
      <c r="D50" s="1"/>
      <c r="E50" s="1"/>
      <c r="F50" s="1"/>
      <c r="G50" s="1"/>
      <c r="H50" s="1"/>
    </row>
    <row r="51" spans="1:8" ht="13.9">
      <c r="A51" s="1"/>
      <c r="B51" s="1"/>
      <c r="C51" s="1"/>
      <c r="D51" s="1"/>
      <c r="E51" s="1"/>
      <c r="F51" s="1"/>
      <c r="G51" s="1"/>
      <c r="H51" s="1"/>
    </row>
    <row r="52" spans="1:8" ht="26" customHeight="1">
      <c r="A52" s="28" t="s">
        <v>275</v>
      </c>
      <c r="B52" s="28"/>
      <c r="C52" s="28"/>
      <c r="D52" s="28"/>
      <c r="E52" s="28"/>
      <c r="F52" s="28"/>
      <c r="G52" s="28"/>
      <c r="H52" s="28"/>
    </row>
    <row r="53" spans="1:8" ht="36" customHeight="1">
      <c r="A53" s="19" t="s">
        <v>276</v>
      </c>
      <c r="B53" s="33"/>
      <c r="C53" s="33"/>
      <c r="D53" s="33"/>
      <c r="E53" s="33"/>
      <c r="F53" s="33"/>
      <c r="G53" s="33"/>
      <c r="H53" s="33"/>
    </row>
    <row r="54" spans="1:8" ht="36" customHeight="1">
      <c r="A54" s="19" t="s">
        <v>277</v>
      </c>
      <c r="B54" s="33"/>
      <c r="C54" s="33"/>
      <c r="D54" s="33"/>
      <c r="E54" s="33"/>
      <c r="F54" s="33"/>
      <c r="G54" s="33"/>
      <c r="H54" s="33"/>
    </row>
    <row r="55" spans="1:8" ht="36" customHeight="1">
      <c r="A55" s="19" t="s">
        <v>278</v>
      </c>
      <c r="B55" s="33"/>
      <c r="C55" s="33"/>
      <c r="D55" s="33"/>
      <c r="E55" s="33"/>
      <c r="F55" s="33"/>
      <c r="G55" s="33"/>
      <c r="H55" s="33"/>
    </row>
    <row r="56" spans="1:8" ht="36" customHeight="1">
      <c r="A56" s="19" t="s">
        <v>279</v>
      </c>
      <c r="B56" s="33"/>
      <c r="C56" s="33"/>
      <c r="D56" s="33"/>
      <c r="E56" s="33"/>
      <c r="F56" s="33"/>
      <c r="G56" s="33"/>
      <c r="H56" s="33"/>
    </row>
    <row r="57" spans="1:8" ht="36" customHeight="1">
      <c r="A57" s="19" t="s">
        <v>280</v>
      </c>
      <c r="B57" s="30" t="s">
        <v>281</v>
      </c>
      <c r="C57" s="30"/>
      <c r="D57" s="30"/>
      <c r="E57" s="30"/>
      <c r="F57" s="30"/>
      <c r="G57" s="30"/>
      <c r="H57" s="30"/>
    </row>
    <row r="58" spans="1:8" ht="13.9">
      <c r="A58" s="1"/>
      <c r="B58" s="1"/>
      <c r="C58" s="1"/>
      <c r="D58" s="1"/>
      <c r="E58" s="1"/>
      <c r="F58" s="1"/>
      <c r="G58" s="1"/>
      <c r="H58" s="1"/>
    </row>
  </sheetData>
  <mergeCells count="9">
    <mergeCell ref="B54:H54"/>
    <mergeCell ref="B55:H55"/>
    <mergeCell ref="B56:H56"/>
    <mergeCell ref="B57:H57"/>
    <mergeCell ref="A1:H1"/>
    <mergeCell ref="A2:H2"/>
    <mergeCell ref="A12:H12"/>
    <mergeCell ref="A52:H52"/>
    <mergeCell ref="B53:H53"/>
  </mergeCells>
  <phoneticPr fontId="11" type="noConversion"/>
  <dataValidations count="2">
    <dataValidation type="list" sqref="E14:E49" xr:uid="{00000000-0002-0000-0400-000000000000}">
      <formula1>"接受,修改,拒绝,不适用"</formula1>
    </dataValidation>
    <dataValidation type="list" sqref="H14:H49" xr:uid="{00000000-0002-0000-0400-000001000000}">
      <formula1>"保留V1,修改到V2,补充理由,待教师确认,不适用"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showGridLines="0" workbookViewId="0"/>
  </sheetViews>
  <sheetFormatPr defaultRowHeight="13.5"/>
  <cols>
    <col min="1" max="2" width="11" customWidth="1"/>
    <col min="3" max="3" width="13" customWidth="1"/>
    <col min="4" max="4" width="28" customWidth="1"/>
    <col min="5" max="6" width="14" customWidth="1"/>
    <col min="7" max="7" width="18" customWidth="1"/>
    <col min="8" max="8" width="48" customWidth="1"/>
    <col min="9" max="9" width="14" customWidth="1"/>
  </cols>
  <sheetData>
    <row r="1" spans="1:9" ht="32" customHeight="1">
      <c r="A1" s="24" t="s">
        <v>282</v>
      </c>
      <c r="B1" s="24"/>
      <c r="C1" s="24"/>
      <c r="D1" s="24"/>
      <c r="E1" s="24"/>
      <c r="F1" s="24"/>
      <c r="G1" s="24"/>
      <c r="H1" s="24"/>
      <c r="I1" s="24"/>
    </row>
    <row r="2" spans="1:9" ht="30" customHeight="1">
      <c r="A2" s="25" t="s">
        <v>283</v>
      </c>
      <c r="B2" s="25"/>
      <c r="C2" s="25"/>
      <c r="D2" s="25"/>
      <c r="E2" s="25"/>
      <c r="F2" s="25"/>
      <c r="G2" s="25"/>
      <c r="H2" s="25"/>
      <c r="I2" s="25"/>
    </row>
    <row r="3" spans="1:9" ht="13.9">
      <c r="A3" s="1"/>
      <c r="B3" s="1"/>
      <c r="C3" s="1"/>
      <c r="D3" s="1"/>
      <c r="E3" s="1"/>
      <c r="F3" s="1"/>
      <c r="G3" s="1"/>
      <c r="H3" s="1"/>
      <c r="I3" s="1"/>
    </row>
    <row r="4" spans="1:9" ht="13.9">
      <c r="A4" s="1"/>
      <c r="B4" s="1"/>
      <c r="C4" s="1"/>
      <c r="D4" s="1"/>
      <c r="E4" s="1"/>
      <c r="F4" s="1"/>
      <c r="G4" s="1"/>
      <c r="H4" s="1"/>
      <c r="I4" s="1"/>
    </row>
    <row r="5" spans="1:9" ht="32" customHeight="1">
      <c r="A5" s="2" t="s">
        <v>43</v>
      </c>
      <c r="B5" s="2" t="s">
        <v>44</v>
      </c>
      <c r="C5" s="2" t="s">
        <v>284</v>
      </c>
      <c r="D5" s="2" t="s">
        <v>268</v>
      </c>
      <c r="E5" s="2" t="s">
        <v>285</v>
      </c>
      <c r="F5" s="2" t="s">
        <v>286</v>
      </c>
      <c r="G5" s="2" t="s">
        <v>287</v>
      </c>
      <c r="H5" s="2" t="s">
        <v>288</v>
      </c>
      <c r="I5" s="2" t="s">
        <v>222</v>
      </c>
    </row>
    <row r="6" spans="1:9" ht="38" customHeight="1">
      <c r="A6" s="13" t="str">
        <f>'01_人物数据'!A6</f>
        <v>P01</v>
      </c>
      <c r="B6" s="13" t="str">
        <f>'01_人物数据'!B6</f>
        <v>陈静</v>
      </c>
      <c r="C6" s="13" t="str">
        <f>IF('02_V1分类'!L6="","",'02_V1分类'!L6)</f>
        <v/>
      </c>
      <c r="D6" s="14"/>
      <c r="E6" s="14"/>
      <c r="F6" s="20" t="str">
        <f t="shared" ref="F6:F41" si="0">IF(E6="","待填写",IF(E6=C6,"保留","已修改"))</f>
        <v>待填写</v>
      </c>
      <c r="G6" s="14"/>
      <c r="H6" s="6"/>
      <c r="I6" s="7" t="str">
        <f t="shared" ref="I6:I41" si="1">IF(AND(E6&lt;&gt;"",G6&lt;&gt;"",H6&lt;&gt;""),"完成","待填写")</f>
        <v>待填写</v>
      </c>
    </row>
    <row r="7" spans="1:9" ht="38" customHeight="1">
      <c r="A7" s="13" t="str">
        <f>'01_人物数据'!A7</f>
        <v>P02</v>
      </c>
      <c r="B7" s="13" t="str">
        <f>'01_人物数据'!B7</f>
        <v>阿杰</v>
      </c>
      <c r="C7" s="13" t="str">
        <f>IF('02_V1分类'!L7="","",'02_V1分类'!L7)</f>
        <v/>
      </c>
      <c r="D7" s="14"/>
      <c r="E7" s="14"/>
      <c r="F7" s="20" t="str">
        <f t="shared" si="0"/>
        <v>待填写</v>
      </c>
      <c r="G7" s="14"/>
      <c r="H7" s="6"/>
      <c r="I7" s="7" t="str">
        <f t="shared" si="1"/>
        <v>待填写</v>
      </c>
    </row>
    <row r="8" spans="1:9" ht="38" customHeight="1">
      <c r="A8" s="13" t="str">
        <f>'01_人物数据'!A8</f>
        <v>P03</v>
      </c>
      <c r="B8" s="13" t="str">
        <f>'01_人物数据'!B8</f>
        <v>林悦</v>
      </c>
      <c r="C8" s="13" t="str">
        <f>IF('02_V1分类'!L8="","",'02_V1分类'!L8)</f>
        <v/>
      </c>
      <c r="D8" s="14"/>
      <c r="E8" s="14"/>
      <c r="F8" s="20" t="str">
        <f t="shared" si="0"/>
        <v>待填写</v>
      </c>
      <c r="G8" s="14"/>
      <c r="H8" s="6"/>
      <c r="I8" s="7" t="str">
        <f t="shared" si="1"/>
        <v>待填写</v>
      </c>
    </row>
    <row r="9" spans="1:9" ht="38" customHeight="1">
      <c r="A9" s="13" t="str">
        <f>'01_人物数据'!A9</f>
        <v>P04</v>
      </c>
      <c r="B9" s="13" t="str">
        <f>'01_人物数据'!B9</f>
        <v>周明</v>
      </c>
      <c r="C9" s="13" t="str">
        <f>IF('02_V1分类'!L9="","",'02_V1分类'!L9)</f>
        <v/>
      </c>
      <c r="D9" s="14"/>
      <c r="E9" s="14"/>
      <c r="F9" s="20" t="str">
        <f t="shared" si="0"/>
        <v>待填写</v>
      </c>
      <c r="G9" s="14"/>
      <c r="H9" s="6"/>
      <c r="I9" s="7" t="str">
        <f t="shared" si="1"/>
        <v>待填写</v>
      </c>
    </row>
    <row r="10" spans="1:9" ht="38" customHeight="1">
      <c r="A10" s="13" t="str">
        <f>'01_人物数据'!A10</f>
        <v>P05</v>
      </c>
      <c r="B10" s="13" t="str">
        <f>'01_人物数据'!B10</f>
        <v>吴强</v>
      </c>
      <c r="C10" s="13" t="str">
        <f>IF('02_V1分类'!L10="","",'02_V1分类'!L10)</f>
        <v/>
      </c>
      <c r="D10" s="14"/>
      <c r="E10" s="14"/>
      <c r="F10" s="20" t="str">
        <f t="shared" si="0"/>
        <v>待填写</v>
      </c>
      <c r="G10" s="14"/>
      <c r="H10" s="6"/>
      <c r="I10" s="7" t="str">
        <f t="shared" si="1"/>
        <v>待填写</v>
      </c>
    </row>
    <row r="11" spans="1:9" ht="38" customHeight="1">
      <c r="A11" s="13" t="str">
        <f>'01_人物数据'!A11</f>
        <v>P06</v>
      </c>
      <c r="B11" s="13" t="str">
        <f>'01_人物数据'!B11</f>
        <v>赵国平</v>
      </c>
      <c r="C11" s="13" t="str">
        <f>IF('02_V1分类'!L11="","",'02_V1分类'!L11)</f>
        <v/>
      </c>
      <c r="D11" s="14"/>
      <c r="E11" s="14"/>
      <c r="F11" s="20" t="str">
        <f t="shared" si="0"/>
        <v>待填写</v>
      </c>
      <c r="G11" s="14"/>
      <c r="H11" s="6"/>
      <c r="I11" s="7" t="str">
        <f t="shared" si="1"/>
        <v>待填写</v>
      </c>
    </row>
    <row r="12" spans="1:9" ht="38" customHeight="1">
      <c r="A12" s="13" t="str">
        <f>'01_人物数据'!A12</f>
        <v>P07</v>
      </c>
      <c r="B12" s="13" t="str">
        <f>'01_人物数据'!B12</f>
        <v>王芳</v>
      </c>
      <c r="C12" s="13" t="str">
        <f>IF('02_V1分类'!L12="","",'02_V1分类'!L12)</f>
        <v/>
      </c>
      <c r="D12" s="14"/>
      <c r="E12" s="14"/>
      <c r="F12" s="20" t="str">
        <f t="shared" si="0"/>
        <v>待填写</v>
      </c>
      <c r="G12" s="14"/>
      <c r="H12" s="6"/>
      <c r="I12" s="7" t="str">
        <f t="shared" si="1"/>
        <v>待填写</v>
      </c>
    </row>
    <row r="13" spans="1:9" ht="38" customHeight="1">
      <c r="A13" s="13" t="str">
        <f>'01_人物数据'!A13</f>
        <v>P08</v>
      </c>
      <c r="B13" s="13" t="str">
        <f>'01_人物数据'!B13</f>
        <v>孙凯</v>
      </c>
      <c r="C13" s="13" t="str">
        <f>IF('02_V1分类'!L13="","",'02_V1分类'!L13)</f>
        <v/>
      </c>
      <c r="D13" s="14"/>
      <c r="E13" s="14"/>
      <c r="F13" s="20" t="str">
        <f t="shared" si="0"/>
        <v>待填写</v>
      </c>
      <c r="G13" s="14"/>
      <c r="H13" s="6"/>
      <c r="I13" s="7" t="str">
        <f t="shared" si="1"/>
        <v>待填写</v>
      </c>
    </row>
    <row r="14" spans="1:9" ht="38" customHeight="1">
      <c r="A14" s="13" t="str">
        <f>'01_人物数据'!A14</f>
        <v>P09</v>
      </c>
      <c r="B14" s="13" t="str">
        <f>'01_人物数据'!B14</f>
        <v>李梅</v>
      </c>
      <c r="C14" s="13" t="str">
        <f>IF('02_V1分类'!L14="","",'02_V1分类'!L14)</f>
        <v/>
      </c>
      <c r="D14" s="14"/>
      <c r="E14" s="14"/>
      <c r="F14" s="20" t="str">
        <f t="shared" si="0"/>
        <v>待填写</v>
      </c>
      <c r="G14" s="14"/>
      <c r="H14" s="6"/>
      <c r="I14" s="7" t="str">
        <f t="shared" si="1"/>
        <v>待填写</v>
      </c>
    </row>
    <row r="15" spans="1:9" ht="38" customHeight="1">
      <c r="A15" s="13" t="str">
        <f>'01_人物数据'!A15</f>
        <v>P10</v>
      </c>
      <c r="B15" s="13" t="str">
        <f>'01_人物数据'!B15</f>
        <v>高宇</v>
      </c>
      <c r="C15" s="13" t="str">
        <f>IF('02_V1分类'!L15="","",'02_V1分类'!L15)</f>
        <v/>
      </c>
      <c r="D15" s="14"/>
      <c r="E15" s="14"/>
      <c r="F15" s="20" t="str">
        <f t="shared" si="0"/>
        <v>待填写</v>
      </c>
      <c r="G15" s="14"/>
      <c r="H15" s="6"/>
      <c r="I15" s="7" t="str">
        <f t="shared" si="1"/>
        <v>待填写</v>
      </c>
    </row>
    <row r="16" spans="1:9" ht="38" customHeight="1">
      <c r="A16" s="13" t="str">
        <f>'01_人物数据'!A16</f>
        <v>P11</v>
      </c>
      <c r="B16" s="13" t="str">
        <f>'01_人物数据'!B16</f>
        <v>刘娜</v>
      </c>
      <c r="C16" s="13" t="str">
        <f>IF('02_V1分类'!L16="","",'02_V1分类'!L16)</f>
        <v/>
      </c>
      <c r="D16" s="14"/>
      <c r="E16" s="14"/>
      <c r="F16" s="20" t="str">
        <f t="shared" si="0"/>
        <v>待填写</v>
      </c>
      <c r="G16" s="14"/>
      <c r="H16" s="6"/>
      <c r="I16" s="7" t="str">
        <f t="shared" si="1"/>
        <v>待填写</v>
      </c>
    </row>
    <row r="17" spans="1:9" ht="38" customHeight="1">
      <c r="A17" s="13" t="str">
        <f>'01_人物数据'!A17</f>
        <v>P12</v>
      </c>
      <c r="B17" s="13" t="str">
        <f>'01_人物数据'!B17</f>
        <v>黄磊</v>
      </c>
      <c r="C17" s="13" t="str">
        <f>IF('02_V1分类'!L17="","",'02_V1分类'!L17)</f>
        <v/>
      </c>
      <c r="D17" s="14"/>
      <c r="E17" s="14"/>
      <c r="F17" s="20" t="str">
        <f t="shared" si="0"/>
        <v>待填写</v>
      </c>
      <c r="G17" s="14"/>
      <c r="H17" s="6"/>
      <c r="I17" s="7" t="str">
        <f t="shared" si="1"/>
        <v>待填写</v>
      </c>
    </row>
    <row r="18" spans="1:9" ht="38" customHeight="1">
      <c r="A18" s="13" t="str">
        <f>'01_人物数据'!A18</f>
        <v>P13</v>
      </c>
      <c r="B18" s="13" t="str">
        <f>'01_人物数据'!B18</f>
        <v>张蕾</v>
      </c>
      <c r="C18" s="13" t="str">
        <f>IF('02_V1分类'!L18="","",'02_V1分类'!L18)</f>
        <v/>
      </c>
      <c r="D18" s="14"/>
      <c r="E18" s="14"/>
      <c r="F18" s="20" t="str">
        <f t="shared" si="0"/>
        <v>待填写</v>
      </c>
      <c r="G18" s="14"/>
      <c r="H18" s="6"/>
      <c r="I18" s="7" t="str">
        <f t="shared" si="1"/>
        <v>待填写</v>
      </c>
    </row>
    <row r="19" spans="1:9" ht="38" customHeight="1">
      <c r="A19" s="13" t="str">
        <f>'01_人物数据'!A19</f>
        <v>P14</v>
      </c>
      <c r="B19" s="13" t="str">
        <f>'01_人物数据'!B19</f>
        <v>胡军</v>
      </c>
      <c r="C19" s="13" t="str">
        <f>IF('02_V1分类'!L19="","",'02_V1分类'!L19)</f>
        <v/>
      </c>
      <c r="D19" s="14"/>
      <c r="E19" s="14"/>
      <c r="F19" s="20" t="str">
        <f t="shared" si="0"/>
        <v>待填写</v>
      </c>
      <c r="G19" s="14"/>
      <c r="H19" s="6"/>
      <c r="I19" s="7" t="str">
        <f t="shared" si="1"/>
        <v>待填写</v>
      </c>
    </row>
    <row r="20" spans="1:9" ht="38" customHeight="1">
      <c r="A20" s="13" t="str">
        <f>'01_人物数据'!A20</f>
        <v>P15</v>
      </c>
      <c r="B20" s="13" t="str">
        <f>'01_人物数据'!B20</f>
        <v>何敏</v>
      </c>
      <c r="C20" s="13" t="str">
        <f>IF('02_V1分类'!L20="","",'02_V1分类'!L20)</f>
        <v/>
      </c>
      <c r="D20" s="14"/>
      <c r="E20" s="14"/>
      <c r="F20" s="20" t="str">
        <f t="shared" si="0"/>
        <v>待填写</v>
      </c>
      <c r="G20" s="14"/>
      <c r="H20" s="6"/>
      <c r="I20" s="7" t="str">
        <f t="shared" si="1"/>
        <v>待填写</v>
      </c>
    </row>
    <row r="21" spans="1:9" ht="38" customHeight="1">
      <c r="A21" s="13" t="str">
        <f>'01_人物数据'!A21</f>
        <v>P16</v>
      </c>
      <c r="B21" s="13" t="str">
        <f>'01_人物数据'!B21</f>
        <v>丁然</v>
      </c>
      <c r="C21" s="13" t="str">
        <f>IF('02_V1分类'!L21="","",'02_V1分类'!L21)</f>
        <v/>
      </c>
      <c r="D21" s="14"/>
      <c r="E21" s="14"/>
      <c r="F21" s="20" t="str">
        <f t="shared" si="0"/>
        <v>待填写</v>
      </c>
      <c r="G21" s="14"/>
      <c r="H21" s="6"/>
      <c r="I21" s="7" t="str">
        <f t="shared" si="1"/>
        <v>待填写</v>
      </c>
    </row>
    <row r="22" spans="1:9" ht="38" customHeight="1">
      <c r="A22" s="13" t="str">
        <f>'01_人物数据'!A22</f>
        <v>P17</v>
      </c>
      <c r="B22" s="13" t="str">
        <f>'01_人物数据'!B22</f>
        <v>郭雪</v>
      </c>
      <c r="C22" s="13" t="str">
        <f>IF('02_V1分类'!L22="","",'02_V1分类'!L22)</f>
        <v/>
      </c>
      <c r="D22" s="14"/>
      <c r="E22" s="14"/>
      <c r="F22" s="20" t="str">
        <f t="shared" si="0"/>
        <v>待填写</v>
      </c>
      <c r="G22" s="14"/>
      <c r="H22" s="6"/>
      <c r="I22" s="7" t="str">
        <f t="shared" si="1"/>
        <v>待填写</v>
      </c>
    </row>
    <row r="23" spans="1:9" ht="38" customHeight="1">
      <c r="A23" s="13" t="str">
        <f>'01_人物数据'!A23</f>
        <v>P18</v>
      </c>
      <c r="B23" s="13" t="str">
        <f>'01_人物数据'!B23</f>
        <v>韩东</v>
      </c>
      <c r="C23" s="13" t="str">
        <f>IF('02_V1分类'!L23="","",'02_V1分类'!L23)</f>
        <v/>
      </c>
      <c r="D23" s="14"/>
      <c r="E23" s="14"/>
      <c r="F23" s="20" t="str">
        <f t="shared" si="0"/>
        <v>待填写</v>
      </c>
      <c r="G23" s="14"/>
      <c r="H23" s="6"/>
      <c r="I23" s="7" t="str">
        <f t="shared" si="1"/>
        <v>待填写</v>
      </c>
    </row>
    <row r="24" spans="1:9" ht="38" customHeight="1">
      <c r="A24" s="13" t="str">
        <f>'01_人物数据'!A24</f>
        <v>P19</v>
      </c>
      <c r="B24" s="13" t="str">
        <f>'01_人物数据'!B24</f>
        <v>罗媛</v>
      </c>
      <c r="C24" s="13" t="str">
        <f>IF('02_V1分类'!L24="","",'02_V1分类'!L24)</f>
        <v/>
      </c>
      <c r="D24" s="14"/>
      <c r="E24" s="14"/>
      <c r="F24" s="20" t="str">
        <f t="shared" si="0"/>
        <v>待填写</v>
      </c>
      <c r="G24" s="14"/>
      <c r="H24" s="6"/>
      <c r="I24" s="7" t="str">
        <f t="shared" si="1"/>
        <v>待填写</v>
      </c>
    </row>
    <row r="25" spans="1:9" ht="38" customHeight="1">
      <c r="A25" s="13" t="str">
        <f>'01_人物数据'!A25</f>
        <v>P20</v>
      </c>
      <c r="B25" s="13" t="str">
        <f>'01_人物数据'!B25</f>
        <v>马超</v>
      </c>
      <c r="C25" s="13" t="str">
        <f>IF('02_V1分类'!L25="","",'02_V1分类'!L25)</f>
        <v/>
      </c>
      <c r="D25" s="14"/>
      <c r="E25" s="14"/>
      <c r="F25" s="20" t="str">
        <f t="shared" si="0"/>
        <v>待填写</v>
      </c>
      <c r="G25" s="14"/>
      <c r="H25" s="6"/>
      <c r="I25" s="7" t="str">
        <f t="shared" si="1"/>
        <v>待填写</v>
      </c>
    </row>
    <row r="26" spans="1:9" ht="38" customHeight="1">
      <c r="A26" s="13" t="str">
        <f>'01_人物数据'!A26</f>
        <v>P21</v>
      </c>
      <c r="B26" s="13" t="str">
        <f>'01_人物数据'!B26</f>
        <v>许琳</v>
      </c>
      <c r="C26" s="13" t="str">
        <f>IF('02_V1分类'!L26="","",'02_V1分类'!L26)</f>
        <v/>
      </c>
      <c r="D26" s="14"/>
      <c r="E26" s="14"/>
      <c r="F26" s="20" t="str">
        <f t="shared" si="0"/>
        <v>待填写</v>
      </c>
      <c r="G26" s="14"/>
      <c r="H26" s="6"/>
      <c r="I26" s="7" t="str">
        <f t="shared" si="1"/>
        <v>待填写</v>
      </c>
    </row>
    <row r="27" spans="1:9" ht="38" customHeight="1">
      <c r="A27" s="13" t="str">
        <f>'01_人物数据'!A27</f>
        <v>P22</v>
      </c>
      <c r="B27" s="13" t="str">
        <f>'01_人物数据'!B27</f>
        <v>梁博</v>
      </c>
      <c r="C27" s="13" t="str">
        <f>IF('02_V1分类'!L27="","",'02_V1分类'!L27)</f>
        <v/>
      </c>
      <c r="D27" s="14"/>
      <c r="E27" s="14"/>
      <c r="F27" s="20" t="str">
        <f t="shared" si="0"/>
        <v>待填写</v>
      </c>
      <c r="G27" s="14"/>
      <c r="H27" s="6"/>
      <c r="I27" s="7" t="str">
        <f t="shared" si="1"/>
        <v>待填写</v>
      </c>
    </row>
    <row r="28" spans="1:9" ht="38" customHeight="1">
      <c r="A28" s="13" t="str">
        <f>'01_人物数据'!A28</f>
        <v>P23</v>
      </c>
      <c r="B28" s="13" t="str">
        <f>'01_人物数据'!B28</f>
        <v>苏菲</v>
      </c>
      <c r="C28" s="13" t="str">
        <f>IF('02_V1分类'!L28="","",'02_V1分类'!L28)</f>
        <v/>
      </c>
      <c r="D28" s="14"/>
      <c r="E28" s="14"/>
      <c r="F28" s="20" t="str">
        <f t="shared" si="0"/>
        <v>待填写</v>
      </c>
      <c r="G28" s="14"/>
      <c r="H28" s="6"/>
      <c r="I28" s="7" t="str">
        <f t="shared" si="1"/>
        <v>待填写</v>
      </c>
    </row>
    <row r="29" spans="1:9" ht="38" customHeight="1">
      <c r="A29" s="13" t="str">
        <f>'01_人物数据'!A29</f>
        <v>P24</v>
      </c>
      <c r="B29" s="13" t="str">
        <f>'01_人物数据'!B29</f>
        <v>小何</v>
      </c>
      <c r="C29" s="13" t="str">
        <f>IF('02_V1分类'!L29="","",'02_V1分类'!L29)</f>
        <v/>
      </c>
      <c r="D29" s="14"/>
      <c r="E29" s="14"/>
      <c r="F29" s="20" t="str">
        <f t="shared" si="0"/>
        <v>待填写</v>
      </c>
      <c r="G29" s="14"/>
      <c r="H29" s="6"/>
      <c r="I29" s="7" t="str">
        <f t="shared" si="1"/>
        <v>待填写</v>
      </c>
    </row>
    <row r="30" spans="1:9" ht="38" customHeight="1">
      <c r="A30" s="13" t="str">
        <f>'01_人物数据'!A30</f>
        <v>P25</v>
      </c>
      <c r="B30" s="13" t="str">
        <f>'01_人物数据'!B30</f>
        <v>小夏</v>
      </c>
      <c r="C30" s="13" t="str">
        <f>IF('02_V1分类'!L30="","",'02_V1分类'!L30)</f>
        <v/>
      </c>
      <c r="D30" s="14"/>
      <c r="E30" s="14"/>
      <c r="F30" s="20" t="str">
        <f t="shared" si="0"/>
        <v>待填写</v>
      </c>
      <c r="G30" s="14"/>
      <c r="H30" s="6"/>
      <c r="I30" s="7" t="str">
        <f t="shared" si="1"/>
        <v>待填写</v>
      </c>
    </row>
    <row r="31" spans="1:9" ht="38" customHeight="1">
      <c r="A31" s="13" t="str">
        <f>'01_人物数据'!A31</f>
        <v>P26</v>
      </c>
      <c r="B31" s="13" t="str">
        <f>'01_人物数据'!B31</f>
        <v>彭涛</v>
      </c>
      <c r="C31" s="13" t="str">
        <f>IF('02_V1分类'!L31="","",'02_V1分类'!L31)</f>
        <v/>
      </c>
      <c r="D31" s="14"/>
      <c r="E31" s="14"/>
      <c r="F31" s="20" t="str">
        <f t="shared" si="0"/>
        <v>待填写</v>
      </c>
      <c r="G31" s="14"/>
      <c r="H31" s="6"/>
      <c r="I31" s="7" t="str">
        <f t="shared" si="1"/>
        <v>待填写</v>
      </c>
    </row>
    <row r="32" spans="1:9" ht="38" customHeight="1">
      <c r="A32" s="13" t="str">
        <f>'01_人物数据'!A32</f>
        <v>P27</v>
      </c>
      <c r="B32" s="13" t="str">
        <f>'01_人物数据'!B32</f>
        <v>周琴</v>
      </c>
      <c r="C32" s="13" t="str">
        <f>IF('02_V1分类'!L32="","",'02_V1分类'!L32)</f>
        <v/>
      </c>
      <c r="D32" s="14"/>
      <c r="E32" s="14"/>
      <c r="F32" s="20" t="str">
        <f t="shared" si="0"/>
        <v>待填写</v>
      </c>
      <c r="G32" s="14"/>
      <c r="H32" s="6"/>
      <c r="I32" s="7" t="str">
        <f t="shared" si="1"/>
        <v>待填写</v>
      </c>
    </row>
    <row r="33" spans="1:9" ht="38" customHeight="1">
      <c r="A33" s="13" t="str">
        <f>'01_人物数据'!A33</f>
        <v>P28</v>
      </c>
      <c r="B33" s="13" t="str">
        <f>'01_人物数据'!B33</f>
        <v>李国安</v>
      </c>
      <c r="C33" s="13" t="str">
        <f>IF('02_V1分类'!L33="","",'02_V1分类'!L33)</f>
        <v/>
      </c>
      <c r="D33" s="14"/>
      <c r="E33" s="14"/>
      <c r="F33" s="20" t="str">
        <f t="shared" si="0"/>
        <v>待填写</v>
      </c>
      <c r="G33" s="14"/>
      <c r="H33" s="6"/>
      <c r="I33" s="7" t="str">
        <f t="shared" si="1"/>
        <v>待填写</v>
      </c>
    </row>
    <row r="34" spans="1:9" ht="38" customHeight="1">
      <c r="A34" s="13" t="str">
        <f>'01_人物数据'!A34</f>
        <v>P29</v>
      </c>
      <c r="B34" s="13" t="str">
        <f>'01_人物数据'!B34</f>
        <v>王晨</v>
      </c>
      <c r="C34" s="13" t="str">
        <f>IF('02_V1分类'!L34="","",'02_V1分类'!L34)</f>
        <v/>
      </c>
      <c r="D34" s="14"/>
      <c r="E34" s="14"/>
      <c r="F34" s="20" t="str">
        <f t="shared" si="0"/>
        <v>待填写</v>
      </c>
      <c r="G34" s="14"/>
      <c r="H34" s="6"/>
      <c r="I34" s="7" t="str">
        <f t="shared" si="1"/>
        <v>待填写</v>
      </c>
    </row>
    <row r="35" spans="1:9" ht="38" customHeight="1">
      <c r="A35" s="13" t="str">
        <f>'01_人物数据'!A35</f>
        <v>P30</v>
      </c>
      <c r="B35" s="13" t="str">
        <f>'01_人物数据'!B35</f>
        <v>刘芳</v>
      </c>
      <c r="C35" s="13" t="str">
        <f>IF('02_V1分类'!L35="","",'02_V1分类'!L35)</f>
        <v/>
      </c>
      <c r="D35" s="14"/>
      <c r="E35" s="14"/>
      <c r="F35" s="20" t="str">
        <f t="shared" si="0"/>
        <v>待填写</v>
      </c>
      <c r="G35" s="14"/>
      <c r="H35" s="6"/>
      <c r="I35" s="7" t="str">
        <f t="shared" si="1"/>
        <v>待填写</v>
      </c>
    </row>
    <row r="36" spans="1:9" ht="38" customHeight="1">
      <c r="A36" s="13" t="str">
        <f>'01_人物数据'!A36</f>
        <v>P31</v>
      </c>
      <c r="B36" s="13" t="str">
        <f>'01_人物数据'!B36</f>
        <v>郑国华</v>
      </c>
      <c r="C36" s="13" t="str">
        <f>IF('02_V1分类'!L36="","",'02_V1分类'!L36)</f>
        <v/>
      </c>
      <c r="D36" s="14"/>
      <c r="E36" s="14"/>
      <c r="F36" s="20" t="str">
        <f t="shared" si="0"/>
        <v>待填写</v>
      </c>
      <c r="G36" s="14"/>
      <c r="H36" s="6"/>
      <c r="I36" s="7" t="str">
        <f t="shared" si="1"/>
        <v>待填写</v>
      </c>
    </row>
    <row r="37" spans="1:9" ht="38" customHeight="1">
      <c r="A37" s="13" t="str">
        <f>'01_人物数据'!A37</f>
        <v>P32</v>
      </c>
      <c r="B37" s="13" t="str">
        <f>'01_人物数据'!B37</f>
        <v>钱媛</v>
      </c>
      <c r="C37" s="13" t="str">
        <f>IF('02_V1分类'!L37="","",'02_V1分类'!L37)</f>
        <v/>
      </c>
      <c r="D37" s="14"/>
      <c r="E37" s="14"/>
      <c r="F37" s="20" t="str">
        <f t="shared" si="0"/>
        <v>待填写</v>
      </c>
      <c r="G37" s="14"/>
      <c r="H37" s="6"/>
      <c r="I37" s="7" t="str">
        <f t="shared" si="1"/>
        <v>待填写</v>
      </c>
    </row>
    <row r="38" spans="1:9" ht="38" customHeight="1">
      <c r="A38" s="13" t="str">
        <f>'01_人物数据'!A38</f>
        <v>P33</v>
      </c>
      <c r="B38" s="13" t="str">
        <f>'01_人物数据'!B38</f>
        <v>冯远</v>
      </c>
      <c r="C38" s="13" t="str">
        <f>IF('02_V1分类'!L38="","",'02_V1分类'!L38)</f>
        <v/>
      </c>
      <c r="D38" s="14"/>
      <c r="E38" s="14"/>
      <c r="F38" s="20" t="str">
        <f t="shared" si="0"/>
        <v>待填写</v>
      </c>
      <c r="G38" s="14"/>
      <c r="H38" s="6"/>
      <c r="I38" s="7" t="str">
        <f t="shared" si="1"/>
        <v>待填写</v>
      </c>
    </row>
    <row r="39" spans="1:9" ht="38" customHeight="1">
      <c r="A39" s="13" t="str">
        <f>'01_人物数据'!A39</f>
        <v>P34</v>
      </c>
      <c r="B39" s="13" t="str">
        <f>'01_人物数据'!B39</f>
        <v>许航</v>
      </c>
      <c r="C39" s="13" t="str">
        <f>IF('02_V1分类'!L39="","",'02_V1分类'!L39)</f>
        <v/>
      </c>
      <c r="D39" s="14"/>
      <c r="E39" s="14"/>
      <c r="F39" s="20" t="str">
        <f t="shared" si="0"/>
        <v>待填写</v>
      </c>
      <c r="G39" s="14"/>
      <c r="H39" s="6"/>
      <c r="I39" s="7" t="str">
        <f t="shared" si="1"/>
        <v>待填写</v>
      </c>
    </row>
    <row r="40" spans="1:9" ht="38" customHeight="1">
      <c r="A40" s="13" t="str">
        <f>'01_人物数据'!A40</f>
        <v>P35</v>
      </c>
      <c r="B40" s="13" t="str">
        <f>'01_人物数据'!B40</f>
        <v>贾宁</v>
      </c>
      <c r="C40" s="13" t="str">
        <f>IF('02_V1分类'!L40="","",'02_V1分类'!L40)</f>
        <v/>
      </c>
      <c r="D40" s="14"/>
      <c r="E40" s="14"/>
      <c r="F40" s="20" t="str">
        <f t="shared" si="0"/>
        <v>待填写</v>
      </c>
      <c r="G40" s="14"/>
      <c r="H40" s="6"/>
      <c r="I40" s="7" t="str">
        <f t="shared" si="1"/>
        <v>待填写</v>
      </c>
    </row>
    <row r="41" spans="1:9" ht="38" customHeight="1">
      <c r="A41" s="13" t="str">
        <f>'01_人物数据'!A41</f>
        <v>P36</v>
      </c>
      <c r="B41" s="13" t="str">
        <f>'01_人物数据'!B41</f>
        <v>孟琪</v>
      </c>
      <c r="C41" s="13" t="str">
        <f>IF('02_V1分类'!L41="","",'02_V1分类'!L41)</f>
        <v/>
      </c>
      <c r="D41" s="14"/>
      <c r="E41" s="14"/>
      <c r="F41" s="20" t="str">
        <f t="shared" si="0"/>
        <v>待填写</v>
      </c>
      <c r="G41" s="14"/>
      <c r="H41" s="6"/>
      <c r="I41" s="7" t="str">
        <f t="shared" si="1"/>
        <v>待填写</v>
      </c>
    </row>
  </sheetData>
  <mergeCells count="2">
    <mergeCell ref="A1:I1"/>
    <mergeCell ref="A2:I2"/>
  </mergeCells>
  <phoneticPr fontId="11" type="noConversion"/>
  <dataValidations count="2">
    <dataValidation type="list" sqref="E6:E41" xr:uid="{00000000-0002-0000-0500-000000000000}">
      <formula1>"E,U,N"</formula1>
    </dataValidation>
    <dataValidation type="list" sqref="G6:G41" xr:uid="{00000000-0002-0000-0500-000001000000}">
      <formula1>"R-E01,R-E02,R-U01,R-N01,R-N02"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showGridLines="0" workbookViewId="0"/>
  </sheetViews>
  <sheetFormatPr defaultRowHeight="13.5"/>
  <cols>
    <col min="1" max="1" width="25" customWidth="1"/>
    <col min="2" max="2" width="27" customWidth="1"/>
    <col min="3" max="3" width="22" customWidth="1"/>
    <col min="4" max="4" width="18" customWidth="1"/>
    <col min="5" max="5" width="36" customWidth="1"/>
  </cols>
  <sheetData>
    <row r="1" spans="1:14" ht="32" customHeight="1">
      <c r="A1" s="24" t="s">
        <v>289</v>
      </c>
      <c r="B1" s="24"/>
      <c r="C1" s="24"/>
      <c r="D1" s="24"/>
      <c r="E1" s="24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>
      <c r="A2" s="25" t="s">
        <v>290</v>
      </c>
      <c r="B2" s="25"/>
      <c r="C2" s="25"/>
      <c r="D2" s="25"/>
      <c r="E2" s="25"/>
      <c r="F2" s="1"/>
      <c r="G2" s="1"/>
      <c r="H2" s="1"/>
      <c r="I2" s="1"/>
      <c r="J2" s="1"/>
      <c r="K2" s="1"/>
      <c r="L2" s="1"/>
      <c r="M2" s="1"/>
      <c r="N2" s="1"/>
    </row>
    <row r="3" spans="1:14" ht="13.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3.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2" customHeight="1">
      <c r="A5" s="2" t="s">
        <v>225</v>
      </c>
      <c r="B5" s="2" t="s">
        <v>226</v>
      </c>
      <c r="C5" s="2" t="s">
        <v>227</v>
      </c>
      <c r="D5" s="2" t="s">
        <v>228</v>
      </c>
      <c r="E5" s="2" t="s">
        <v>229</v>
      </c>
      <c r="F5" s="1"/>
      <c r="G5" s="1"/>
      <c r="H5" s="1"/>
      <c r="I5" s="1"/>
      <c r="J5" s="1"/>
      <c r="K5" s="1"/>
      <c r="L5" s="1"/>
      <c r="M5" s="1"/>
      <c r="N5" s="1"/>
    </row>
    <row r="6" spans="1:14" ht="34.049999999999997" customHeight="1">
      <c r="A6" s="9" t="s">
        <v>230</v>
      </c>
      <c r="B6" s="15"/>
      <c r="C6" s="16">
        <f>COUNTA('05_V2分类'!A6:A41)</f>
        <v>36</v>
      </c>
      <c r="D6" s="16" t="str">
        <f t="shared" ref="D6:D14" si="0">IF(B6="","待输入",IF(ABS(B6-C6)&lt;0.000001,"一致","请检查公式"))</f>
        <v>待输入</v>
      </c>
      <c r="E6" s="9" t="s">
        <v>231</v>
      </c>
      <c r="F6" s="1"/>
      <c r="G6" s="1"/>
      <c r="H6" s="1"/>
      <c r="I6" s="1"/>
      <c r="J6" s="1"/>
      <c r="K6" s="1"/>
      <c r="L6" s="1"/>
      <c r="M6" s="1"/>
      <c r="N6" s="1"/>
    </row>
    <row r="7" spans="1:14" ht="34.049999999999997" customHeight="1">
      <c r="A7" s="9" t="s">
        <v>232</v>
      </c>
      <c r="B7" s="15"/>
      <c r="C7" s="16">
        <f>COUNTIF('05_V2分类'!E6:E41,"E")</f>
        <v>0</v>
      </c>
      <c r="D7" s="16" t="str">
        <f t="shared" si="0"/>
        <v>待输入</v>
      </c>
      <c r="E7" s="9" t="s">
        <v>233</v>
      </c>
      <c r="F7" s="1"/>
      <c r="G7" s="1"/>
      <c r="H7" s="1"/>
      <c r="I7" s="1"/>
      <c r="J7" s="1"/>
      <c r="K7" s="1"/>
      <c r="L7" s="1"/>
      <c r="M7" s="1"/>
      <c r="N7" s="1"/>
    </row>
    <row r="8" spans="1:14" ht="34.049999999999997" customHeight="1">
      <c r="A8" s="9" t="s">
        <v>234</v>
      </c>
      <c r="B8" s="15"/>
      <c r="C8" s="16">
        <f>COUNTIF('05_V2分类'!E6:E41,"U")</f>
        <v>0</v>
      </c>
      <c r="D8" s="16" t="str">
        <f t="shared" si="0"/>
        <v>待输入</v>
      </c>
      <c r="E8" s="9" t="s">
        <v>235</v>
      </c>
      <c r="F8" s="1"/>
      <c r="G8" s="1"/>
      <c r="H8" s="1"/>
      <c r="I8" s="1"/>
      <c r="J8" s="1"/>
      <c r="K8" s="1"/>
      <c r="L8" s="1"/>
      <c r="M8" s="1"/>
      <c r="N8" s="1"/>
    </row>
    <row r="9" spans="1:14" ht="34.049999999999997" customHeight="1">
      <c r="A9" s="9" t="s">
        <v>236</v>
      </c>
      <c r="B9" s="15"/>
      <c r="C9" s="16">
        <f>COUNTIF('05_V2分类'!E6:E41,"N")</f>
        <v>0</v>
      </c>
      <c r="D9" s="16" t="str">
        <f t="shared" si="0"/>
        <v>待输入</v>
      </c>
      <c r="E9" s="9" t="s">
        <v>237</v>
      </c>
      <c r="F9" s="1"/>
      <c r="G9" s="1"/>
      <c r="H9" s="1"/>
      <c r="I9" s="1"/>
      <c r="J9" s="1"/>
      <c r="K9" s="1"/>
      <c r="L9" s="1"/>
      <c r="M9" s="1"/>
      <c r="N9" s="1"/>
    </row>
    <row r="10" spans="1:14" ht="34.049999999999997" customHeight="1">
      <c r="A10" s="9" t="s">
        <v>238</v>
      </c>
      <c r="B10" s="15"/>
      <c r="C10" s="16">
        <f>C7+C8</f>
        <v>0</v>
      </c>
      <c r="D10" s="16" t="str">
        <f t="shared" si="0"/>
        <v>待输入</v>
      </c>
      <c r="E10" s="9" t="s">
        <v>239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ht="34.049999999999997" customHeight="1">
      <c r="A11" s="9" t="s">
        <v>240</v>
      </c>
      <c r="B11" s="17"/>
      <c r="C11" s="18">
        <f>IF(C6=0,"",C10/C6)</f>
        <v>0</v>
      </c>
      <c r="D11" s="16" t="str">
        <f t="shared" si="0"/>
        <v>待输入</v>
      </c>
      <c r="E11" s="9" t="s">
        <v>241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ht="34.049999999999997" customHeight="1">
      <c r="A12" s="9" t="s">
        <v>242</v>
      </c>
      <c r="B12" s="17"/>
      <c r="C12" s="18">
        <f>IF(C6=0,"",C7/C6)</f>
        <v>0</v>
      </c>
      <c r="D12" s="16" t="str">
        <f t="shared" si="0"/>
        <v>待输入</v>
      </c>
      <c r="E12" s="9" t="s">
        <v>243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ht="34.049999999999997" customHeight="1">
      <c r="A13" s="9" t="s">
        <v>244</v>
      </c>
      <c r="B13" s="17"/>
      <c r="C13" s="18" t="str">
        <f>IF(C10=0,"",C8/C10)</f>
        <v/>
      </c>
      <c r="D13" s="16" t="str">
        <f t="shared" si="0"/>
        <v>待输入</v>
      </c>
      <c r="E13" s="9" t="s">
        <v>245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ht="34.049999999999997" customHeight="1">
      <c r="A14" s="9" t="s">
        <v>246</v>
      </c>
      <c r="B14" s="15"/>
      <c r="C14" s="16">
        <f>C7+C8+C9</f>
        <v>0</v>
      </c>
      <c r="D14" s="16" t="str">
        <f t="shared" si="0"/>
        <v>待输入</v>
      </c>
      <c r="E14" s="9" t="s">
        <v>247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ht="13.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3.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6" customHeight="1">
      <c r="A17" s="31" t="s">
        <v>248</v>
      </c>
      <c r="B17" s="31"/>
      <c r="C17" s="31"/>
      <c r="D17" s="31"/>
      <c r="E17" s="31"/>
      <c r="F17" s="1"/>
      <c r="G17" s="1"/>
      <c r="H17" s="1"/>
      <c r="I17" s="1"/>
      <c r="J17" s="1"/>
      <c r="K17" s="1"/>
      <c r="L17" s="1"/>
      <c r="M17" s="1"/>
      <c r="N17" s="1"/>
    </row>
    <row r="18" spans="1:14" ht="30" customHeight="1">
      <c r="A18" s="5" t="s">
        <v>34</v>
      </c>
      <c r="B18" s="32" t="s">
        <v>249</v>
      </c>
      <c r="C18" s="32"/>
      <c r="D18" s="32"/>
      <c r="E18" s="32"/>
      <c r="F18" s="1"/>
      <c r="G18" s="1"/>
      <c r="H18" s="1"/>
      <c r="I18" s="1"/>
      <c r="J18" s="1"/>
      <c r="K18" s="1"/>
      <c r="L18" s="1"/>
      <c r="M18" s="1"/>
      <c r="N18" s="1"/>
    </row>
    <row r="19" spans="1:14" ht="30" customHeight="1">
      <c r="A19" s="5" t="s">
        <v>36</v>
      </c>
      <c r="B19" s="32" t="s">
        <v>250</v>
      </c>
      <c r="C19" s="32"/>
      <c r="D19" s="32"/>
      <c r="E19" s="32"/>
      <c r="F19" s="1"/>
      <c r="G19" s="1"/>
      <c r="H19" s="1"/>
      <c r="I19" s="1"/>
      <c r="J19" s="1"/>
      <c r="K19" s="1"/>
      <c r="L19" s="1"/>
      <c r="M19" s="1"/>
      <c r="N19" s="1"/>
    </row>
    <row r="20" spans="1:14" ht="30" customHeight="1">
      <c r="A20" s="5" t="s">
        <v>38</v>
      </c>
      <c r="B20" s="32" t="s">
        <v>251</v>
      </c>
      <c r="C20" s="32"/>
      <c r="D20" s="32"/>
      <c r="E20" s="32"/>
      <c r="F20" s="1"/>
      <c r="G20" s="1"/>
      <c r="H20" s="1"/>
      <c r="I20" s="1"/>
      <c r="J20" s="1"/>
      <c r="K20" s="1"/>
      <c r="L20" s="1"/>
      <c r="M20" s="1"/>
      <c r="N20" s="1"/>
    </row>
    <row r="21" spans="1:14" ht="30" customHeight="1">
      <c r="A21" s="5" t="s">
        <v>252</v>
      </c>
      <c r="B21" s="32" t="s">
        <v>253</v>
      </c>
      <c r="C21" s="32"/>
      <c r="D21" s="32"/>
      <c r="E21" s="32"/>
      <c r="F21" s="1"/>
      <c r="G21" s="1"/>
      <c r="H21" s="1"/>
      <c r="I21" s="1"/>
      <c r="J21" s="1"/>
      <c r="K21" s="1"/>
      <c r="L21" s="1"/>
      <c r="M21" s="1"/>
      <c r="N21" s="1"/>
    </row>
    <row r="22" spans="1:14" ht="30" customHeight="1">
      <c r="A22" s="5" t="s">
        <v>254</v>
      </c>
      <c r="B22" s="32" t="s">
        <v>255</v>
      </c>
      <c r="C22" s="32"/>
      <c r="D22" s="32"/>
      <c r="E22" s="32"/>
      <c r="F22" s="1"/>
      <c r="G22" s="1"/>
      <c r="H22" s="1"/>
      <c r="I22" s="1"/>
      <c r="J22" s="1"/>
      <c r="K22" s="1"/>
      <c r="L22" s="1"/>
      <c r="M22" s="1"/>
      <c r="N22" s="1"/>
    </row>
    <row r="23" spans="1:14" ht="13.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32" customHeight="1">
      <c r="A24" s="2" t="s">
        <v>291</v>
      </c>
      <c r="B24" s="2" t="s">
        <v>292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3.9">
      <c r="A25" s="21" t="s">
        <v>293</v>
      </c>
      <c r="B25" s="21">
        <f>C7</f>
        <v>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3.9">
      <c r="A26" s="21" t="s">
        <v>294</v>
      </c>
      <c r="B26" s="21">
        <f>C8</f>
        <v>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3.9">
      <c r="A27" s="21" t="s">
        <v>295</v>
      </c>
      <c r="B27" s="21">
        <f>C9</f>
        <v>0</v>
      </c>
    </row>
  </sheetData>
  <mergeCells count="8">
    <mergeCell ref="B20:E20"/>
    <mergeCell ref="B21:E21"/>
    <mergeCell ref="B22:E22"/>
    <mergeCell ref="A1:E1"/>
    <mergeCell ref="A2:E2"/>
    <mergeCell ref="A17:E17"/>
    <mergeCell ref="B18:E18"/>
    <mergeCell ref="B19:E19"/>
  </mergeCells>
  <phoneticPr fontId="1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showGridLines="0" workbookViewId="0"/>
  </sheetViews>
  <sheetFormatPr defaultRowHeight="13.5"/>
  <cols>
    <col min="1" max="1" width="22" customWidth="1"/>
    <col min="2" max="8" width="16" customWidth="1"/>
  </cols>
  <sheetData>
    <row r="1" spans="1:8" ht="32" customHeight="1">
      <c r="A1" s="24" t="s">
        <v>296</v>
      </c>
      <c r="B1" s="24"/>
      <c r="C1" s="24"/>
      <c r="D1" s="24"/>
      <c r="E1" s="24"/>
      <c r="F1" s="24"/>
      <c r="G1" s="24"/>
      <c r="H1" s="24"/>
    </row>
    <row r="2" spans="1:8" ht="30" customHeight="1">
      <c r="A2" s="25" t="s">
        <v>297</v>
      </c>
      <c r="B2" s="25"/>
      <c r="C2" s="25"/>
      <c r="D2" s="25"/>
      <c r="E2" s="25"/>
      <c r="F2" s="25"/>
      <c r="G2" s="25"/>
      <c r="H2" s="25"/>
    </row>
    <row r="3" spans="1:8" ht="13.9">
      <c r="A3" s="1"/>
      <c r="B3" s="1"/>
      <c r="C3" s="1"/>
      <c r="D3" s="1"/>
      <c r="E3" s="1"/>
      <c r="F3" s="1"/>
      <c r="G3" s="1"/>
      <c r="H3" s="1"/>
    </row>
    <row r="4" spans="1:8" ht="30" customHeight="1">
      <c r="A4" s="22" t="s">
        <v>54</v>
      </c>
      <c r="B4" s="9" t="s">
        <v>8</v>
      </c>
      <c r="C4" s="22" t="s">
        <v>298</v>
      </c>
      <c r="D4" s="9" t="s">
        <v>299</v>
      </c>
      <c r="E4" s="1"/>
      <c r="F4" s="1"/>
      <c r="G4" s="1"/>
      <c r="H4" s="1"/>
    </row>
    <row r="5" spans="1:8" ht="30" customHeight="1">
      <c r="A5" s="22" t="s">
        <v>300</v>
      </c>
      <c r="B5" s="16">
        <f>'06_V2指标图表'!B6</f>
        <v>0</v>
      </c>
      <c r="C5" s="22" t="s">
        <v>301</v>
      </c>
      <c r="D5" s="16">
        <f>'06_V2指标图表'!B10</f>
        <v>0</v>
      </c>
      <c r="E5" s="1"/>
      <c r="F5" s="1"/>
      <c r="G5" s="1"/>
      <c r="H5" s="1"/>
    </row>
    <row r="6" spans="1:8" ht="30" customHeight="1">
      <c r="A6" s="22" t="s">
        <v>293</v>
      </c>
      <c r="B6" s="16">
        <f>'06_V2指标图表'!B7</f>
        <v>0</v>
      </c>
      <c r="C6" s="22" t="s">
        <v>294</v>
      </c>
      <c r="D6" s="16">
        <f>'06_V2指标图表'!B8</f>
        <v>0</v>
      </c>
      <c r="E6" s="1"/>
      <c r="F6" s="1"/>
      <c r="G6" s="1"/>
      <c r="H6" s="1"/>
    </row>
    <row r="7" spans="1:8" ht="30" customHeight="1">
      <c r="A7" s="22" t="s">
        <v>295</v>
      </c>
      <c r="B7" s="16">
        <f>'06_V2指标图表'!B9</f>
        <v>0</v>
      </c>
      <c r="C7" s="22" t="s">
        <v>240</v>
      </c>
      <c r="D7" s="16">
        <f>'06_V2指标图表'!B11</f>
        <v>0</v>
      </c>
      <c r="E7" s="1"/>
      <c r="F7" s="1"/>
      <c r="G7" s="1"/>
      <c r="H7" s="1"/>
    </row>
    <row r="8" spans="1:8" ht="30" customHeight="1">
      <c r="A8" s="22" t="s">
        <v>242</v>
      </c>
      <c r="B8" s="18">
        <f>'06_V2指标图表'!B12</f>
        <v>0</v>
      </c>
      <c r="C8" s="23" t="s">
        <v>244</v>
      </c>
      <c r="D8" s="18">
        <f>'06_V2指标图表'!B13</f>
        <v>0</v>
      </c>
      <c r="E8" s="1"/>
      <c r="F8" s="1"/>
      <c r="G8" s="1"/>
      <c r="H8" s="1"/>
    </row>
    <row r="9" spans="1:8" ht="30" customHeight="1">
      <c r="A9" s="22" t="s">
        <v>302</v>
      </c>
      <c r="B9" s="16">
        <f>COUNTIF('02_V1分类'!O6:O41,"完成")</f>
        <v>0</v>
      </c>
      <c r="C9" s="22" t="s">
        <v>303</v>
      </c>
      <c r="D9" s="16">
        <f>COUNTIF('05_V2分类'!I6:I41,"完成")</f>
        <v>0</v>
      </c>
      <c r="E9" s="1"/>
      <c r="F9" s="1"/>
      <c r="G9" s="1"/>
      <c r="H9" s="1"/>
    </row>
    <row r="10" spans="1:8" ht="30" customHeight="1">
      <c r="A10" s="22" t="s">
        <v>304</v>
      </c>
      <c r="B10" s="16">
        <f>COUNTIF('06_V2指标图表'!D6:D14,"一致")</f>
        <v>0</v>
      </c>
      <c r="C10" s="22" t="s">
        <v>305</v>
      </c>
      <c r="D10" s="16">
        <f>COUNTIF('06_V2指标图表'!D6:D14,"&lt;&gt;一致")</f>
        <v>9</v>
      </c>
      <c r="E10" s="1"/>
      <c r="F10" s="1"/>
      <c r="G10" s="1"/>
      <c r="H10" s="1"/>
    </row>
    <row r="11" spans="1:8" ht="30" customHeight="1">
      <c r="A11" s="22" t="s">
        <v>306</v>
      </c>
      <c r="B11" s="16" t="str">
        <f>IF(AND(B9=36,D9=36,B10=9),"客观材料已齐，可完成报告","待完成")</f>
        <v>待完成</v>
      </c>
      <c r="C11" s="22"/>
      <c r="D11" s="9"/>
      <c r="E11" s="1"/>
      <c r="F11" s="1"/>
      <c r="G11" s="1"/>
      <c r="H11" s="1"/>
    </row>
    <row r="12" spans="1:8" ht="13.9">
      <c r="A12" s="1"/>
      <c r="B12" s="1"/>
      <c r="C12" s="1"/>
      <c r="D12" s="1"/>
      <c r="E12" s="1"/>
      <c r="F12" s="1"/>
      <c r="G12" s="1"/>
      <c r="H12" s="1"/>
    </row>
    <row r="13" spans="1:8" ht="13.9">
      <c r="A13" s="1"/>
      <c r="B13" s="1"/>
      <c r="C13" s="1"/>
      <c r="D13" s="1"/>
      <c r="E13" s="1"/>
      <c r="F13" s="1"/>
      <c r="G13" s="1"/>
      <c r="H13" s="1"/>
    </row>
    <row r="14" spans="1:8" ht="26" customHeight="1">
      <c r="A14" s="26" t="s">
        <v>307</v>
      </c>
      <c r="B14" s="26"/>
      <c r="C14" s="26"/>
      <c r="D14" s="26"/>
      <c r="E14" s="26"/>
      <c r="F14" s="26"/>
      <c r="G14" s="26"/>
      <c r="H14" s="26"/>
    </row>
    <row r="15" spans="1:8" ht="44" customHeight="1">
      <c r="A15" s="10" t="s">
        <v>308</v>
      </c>
      <c r="B15" s="33"/>
      <c r="C15" s="33"/>
      <c r="D15" s="33"/>
      <c r="E15" s="33"/>
      <c r="F15" s="33"/>
      <c r="G15" s="33"/>
      <c r="H15" s="33"/>
    </row>
    <row r="16" spans="1:8" ht="44" customHeight="1">
      <c r="A16" s="10" t="s">
        <v>309</v>
      </c>
      <c r="B16" s="33"/>
      <c r="C16" s="33"/>
      <c r="D16" s="33"/>
      <c r="E16" s="33"/>
      <c r="F16" s="33"/>
      <c r="G16" s="33"/>
      <c r="H16" s="33"/>
    </row>
    <row r="17" spans="1:8" ht="44" customHeight="1">
      <c r="A17" s="10" t="s">
        <v>310</v>
      </c>
      <c r="B17" s="33"/>
      <c r="C17" s="33"/>
      <c r="D17" s="33"/>
      <c r="E17" s="33"/>
      <c r="F17" s="33"/>
      <c r="G17" s="33"/>
      <c r="H17" s="33"/>
    </row>
    <row r="18" spans="1:8" ht="44" customHeight="1">
      <c r="A18" s="10" t="s">
        <v>311</v>
      </c>
      <c r="B18" s="33"/>
      <c r="C18" s="33"/>
      <c r="D18" s="33"/>
      <c r="E18" s="33"/>
      <c r="F18" s="33"/>
      <c r="G18" s="33"/>
      <c r="H18" s="33"/>
    </row>
    <row r="19" spans="1:8" ht="44" customHeight="1">
      <c r="A19" s="10" t="s">
        <v>312</v>
      </c>
      <c r="B19" s="33"/>
      <c r="C19" s="33"/>
      <c r="D19" s="33"/>
      <c r="E19" s="33"/>
      <c r="F19" s="33"/>
      <c r="G19" s="33"/>
      <c r="H19" s="33"/>
    </row>
    <row r="20" spans="1:8" ht="44" customHeight="1">
      <c r="A20" s="10" t="s">
        <v>313</v>
      </c>
      <c r="B20" s="33"/>
      <c r="C20" s="33"/>
      <c r="D20" s="33"/>
      <c r="E20" s="33"/>
      <c r="F20" s="33"/>
      <c r="G20" s="33"/>
      <c r="H20" s="33"/>
    </row>
    <row r="21" spans="1:8" ht="13.9">
      <c r="A21" s="1"/>
      <c r="B21" s="1"/>
      <c r="C21" s="1"/>
      <c r="D21" s="1"/>
      <c r="E21" s="1"/>
      <c r="F21" s="1"/>
      <c r="G21" s="1"/>
      <c r="H21" s="1"/>
    </row>
    <row r="22" spans="1:8" ht="13.9">
      <c r="A22" s="1"/>
      <c r="B22" s="1"/>
      <c r="C22" s="1"/>
      <c r="D22" s="1"/>
      <c r="E22" s="1"/>
      <c r="F22" s="1"/>
      <c r="G22" s="1"/>
      <c r="H22" s="1"/>
    </row>
    <row r="23" spans="1:8" ht="26" customHeight="1">
      <c r="A23" s="28" t="s">
        <v>314</v>
      </c>
      <c r="B23" s="28"/>
      <c r="C23" s="28"/>
      <c r="D23" s="28"/>
      <c r="E23" s="28"/>
      <c r="F23" s="28"/>
      <c r="G23" s="28"/>
      <c r="H23" s="28"/>
    </row>
    <row r="24" spans="1:8" ht="32" customHeight="1">
      <c r="A24" s="19" t="s">
        <v>34</v>
      </c>
      <c r="B24" s="29" t="s">
        <v>315</v>
      </c>
      <c r="C24" s="29"/>
      <c r="D24" s="29"/>
      <c r="E24" s="29"/>
      <c r="F24" s="29"/>
      <c r="G24" s="29"/>
      <c r="H24" s="29"/>
    </row>
    <row r="25" spans="1:8" ht="32" customHeight="1">
      <c r="A25" s="19" t="s">
        <v>36</v>
      </c>
      <c r="B25" s="29" t="s">
        <v>316</v>
      </c>
      <c r="C25" s="29"/>
      <c r="D25" s="29"/>
      <c r="E25" s="29"/>
      <c r="F25" s="29"/>
      <c r="G25" s="29"/>
      <c r="H25" s="29"/>
    </row>
    <row r="26" spans="1:8" ht="32" customHeight="1">
      <c r="A26" s="19" t="s">
        <v>38</v>
      </c>
      <c r="B26" s="29" t="s">
        <v>317</v>
      </c>
      <c r="C26" s="29"/>
      <c r="D26" s="29"/>
      <c r="E26" s="29"/>
      <c r="F26" s="29"/>
      <c r="G26" s="29"/>
      <c r="H26" s="29"/>
    </row>
    <row r="27" spans="1:8" ht="32" customHeight="1">
      <c r="A27" s="19" t="s">
        <v>252</v>
      </c>
      <c r="B27" s="29" t="s">
        <v>318</v>
      </c>
      <c r="C27" s="29"/>
      <c r="D27" s="29"/>
      <c r="E27" s="29"/>
      <c r="F27" s="29"/>
      <c r="G27" s="29"/>
      <c r="H27" s="29"/>
    </row>
    <row r="28" spans="1:8" ht="32" customHeight="1">
      <c r="A28" s="19" t="s">
        <v>254</v>
      </c>
      <c r="B28" s="29" t="s">
        <v>319</v>
      </c>
      <c r="C28" s="29"/>
      <c r="D28" s="29"/>
      <c r="E28" s="29"/>
      <c r="F28" s="29"/>
      <c r="G28" s="29"/>
      <c r="H28" s="29"/>
    </row>
    <row r="29" spans="1:8" ht="32" customHeight="1">
      <c r="A29" s="19" t="s">
        <v>320</v>
      </c>
      <c r="B29" s="29" t="s">
        <v>321</v>
      </c>
      <c r="C29" s="29"/>
      <c r="D29" s="29"/>
      <c r="E29" s="29"/>
      <c r="F29" s="29"/>
      <c r="G29" s="29"/>
      <c r="H29" s="29"/>
    </row>
    <row r="30" spans="1:8" ht="32" customHeight="1">
      <c r="A30" s="19" t="s">
        <v>322</v>
      </c>
      <c r="B30" s="29" t="s">
        <v>323</v>
      </c>
      <c r="C30" s="29"/>
      <c r="D30" s="29"/>
      <c r="E30" s="29"/>
      <c r="F30" s="29"/>
      <c r="G30" s="29"/>
      <c r="H30" s="29"/>
    </row>
    <row r="31" spans="1:8" ht="13.9">
      <c r="A31" s="1"/>
      <c r="B31" s="1"/>
      <c r="C31" s="1"/>
      <c r="D31" s="1"/>
      <c r="E31" s="1"/>
      <c r="F31" s="1"/>
      <c r="G31" s="1"/>
      <c r="H31" s="1"/>
    </row>
    <row r="32" spans="1:8" ht="13.9">
      <c r="A32" s="1"/>
      <c r="B32" s="1"/>
      <c r="C32" s="1"/>
      <c r="D32" s="1"/>
      <c r="E32" s="1"/>
      <c r="F32" s="1"/>
      <c r="G32" s="1"/>
      <c r="H32" s="1"/>
    </row>
    <row r="33" spans="1:8" ht="13.9">
      <c r="A33" s="1"/>
      <c r="B33" s="1"/>
      <c r="C33" s="1"/>
      <c r="D33" s="1"/>
      <c r="E33" s="1"/>
      <c r="F33" s="1"/>
      <c r="G33" s="1"/>
      <c r="H33" s="1"/>
    </row>
    <row r="34" spans="1:8" ht="13.9">
      <c r="A34" s="1"/>
      <c r="B34" s="1"/>
      <c r="C34" s="1"/>
      <c r="D34" s="1"/>
      <c r="E34" s="1"/>
      <c r="F34" s="1"/>
      <c r="G34" s="1"/>
      <c r="H34" s="1"/>
    </row>
  </sheetData>
  <mergeCells count="17">
    <mergeCell ref="B29:H29"/>
    <mergeCell ref="B30:H30"/>
    <mergeCell ref="B24:H24"/>
    <mergeCell ref="B25:H25"/>
    <mergeCell ref="B26:H26"/>
    <mergeCell ref="B27:H27"/>
    <mergeCell ref="B28:H28"/>
    <mergeCell ref="B17:H17"/>
    <mergeCell ref="B18:H18"/>
    <mergeCell ref="B19:H19"/>
    <mergeCell ref="B20:H20"/>
    <mergeCell ref="A23:H23"/>
    <mergeCell ref="A1:H1"/>
    <mergeCell ref="A2:H2"/>
    <mergeCell ref="A14:H14"/>
    <mergeCell ref="B15:H15"/>
    <mergeCell ref="B16:H16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00_使用说明</vt:lpstr>
      <vt:lpstr>01_人物数据</vt:lpstr>
      <vt:lpstr>02_V1分类</vt:lpstr>
      <vt:lpstr>03_V1指标</vt:lpstr>
      <vt:lpstr>04_LMDT与AI审计</vt:lpstr>
      <vt:lpstr>05_V2分类</vt:lpstr>
      <vt:lpstr>06_V2指标图表</vt:lpstr>
      <vt:lpstr>07_汇报提交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yayueli94@126.com</cp:lastModifiedBy>
  <dcterms:created xsi:type="dcterms:W3CDTF">2026-09-01T10:33:19Z</dcterms:created>
  <dcterms:modified xsi:type="dcterms:W3CDTF">2026-09-01T10:33:20Z</dcterms:modified>
</cp:coreProperties>
</file>